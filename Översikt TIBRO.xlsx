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46204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46204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46204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46204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46204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46204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56101-2025</t>
        </is>
      </c>
      <c r="B8" s="1" t="n">
        <v>45973</v>
      </c>
      <c r="C8" s="1" t="n">
        <v>46204</v>
      </c>
      <c r="D8" t="inlineStr">
        <is>
          <t>VÄSTRA GÖTALANDS LÄN</t>
        </is>
      </c>
      <c r="E8" t="inlineStr">
        <is>
          <t>TIBRO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Hasselticka</t>
        </is>
      </c>
      <c r="S8">
        <f>HYPERLINK("https://klasma.github.io/Logging_1472/artfynd/A 56101-2025 artfynd.xlsx", "A 56101-2025")</f>
        <v/>
      </c>
      <c r="T8">
        <f>HYPERLINK("https://klasma.github.io/Logging_1472/kartor/A 56101-2025 karta.png", "A 56101-2025")</f>
        <v/>
      </c>
      <c r="V8">
        <f>HYPERLINK("https://klasma.github.io/Logging_1472/klagomål/A 56101-2025 FSC-klagomål.docx", "A 56101-2025")</f>
        <v/>
      </c>
      <c r="W8">
        <f>HYPERLINK("https://klasma.github.io/Logging_1472/klagomålsmail/A 56101-2025 FSC-klagomål mail.docx", "A 56101-2025")</f>
        <v/>
      </c>
      <c r="X8">
        <f>HYPERLINK("https://klasma.github.io/Logging_1472/tillsyn/A 56101-2025 tillsynsbegäran.docx", "A 56101-2025")</f>
        <v/>
      </c>
      <c r="Y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s="1" t="n">
        <v>44944</v>
      </c>
      <c r="C9" s="1" t="n">
        <v>46204</v>
      </c>
      <c r="D9" t="inlineStr">
        <is>
          <t>VÄSTRA GÖTALANDS LÄN</t>
        </is>
      </c>
      <c r="E9" t="inlineStr">
        <is>
          <t>TIBRO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HYPERLINK("https://klasma.github.io/Logging_1472/artfynd/A 2763-2023 artfynd.xlsx", "A 2763-2023")</f>
        <v/>
      </c>
      <c r="T9">
        <f>HYPERLINK("https://klasma.github.io/Logging_1472/kartor/A 2763-2023 karta.png", "A 2763-2023")</f>
        <v/>
      </c>
      <c r="V9">
        <f>HYPERLINK("https://klasma.github.io/Logging_1472/klagomål/A 2763-2023 FSC-klagomål.docx", "A 2763-2023")</f>
        <v/>
      </c>
      <c r="W9">
        <f>HYPERLINK("https://klasma.github.io/Logging_1472/klagomålsmail/A 2763-2023 FSC-klagomål mail.docx", "A 2763-2023")</f>
        <v/>
      </c>
      <c r="X9">
        <f>HYPERLINK("https://klasma.github.io/Logging_1472/tillsyn/A 2763-2023 tillsynsbegäran.docx", "A 2763-2023")</f>
        <v/>
      </c>
      <c r="Y9">
        <f>HYPERLINK("https://klasma.github.io/Logging_1472/tillsynsmail/A 2763-2023 tillsynsbegäran mail.docx", "A 2763-2023")</f>
        <v/>
      </c>
    </row>
    <row r="10" ht="15" customHeight="1">
      <c r="A10" t="inlineStr">
        <is>
          <t>A 29819-2025</t>
        </is>
      </c>
      <c r="B10" s="1" t="n">
        <v>45825</v>
      </c>
      <c r="C10" s="1" t="n">
        <v>46204</v>
      </c>
      <c r="D10" t="inlineStr">
        <is>
          <t>VÄSTRA GÖTALANDS LÄN</t>
        </is>
      </c>
      <c r="E10" t="inlineStr">
        <is>
          <t>TIBRO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Nattskärra</t>
        </is>
      </c>
      <c r="S10">
        <f>HYPERLINK("https://klasma.github.io/Logging_1472/artfynd/A 29819-2025 artfynd.xlsx", "A 29819-2025")</f>
        <v/>
      </c>
      <c r="T10">
        <f>HYPERLINK("https://klasma.github.io/Logging_1472/kartor/A 29819-2025 karta.png", "A 29819-2025")</f>
        <v/>
      </c>
      <c r="V10">
        <f>HYPERLINK("https://klasma.github.io/Logging_1472/klagomål/A 29819-2025 FSC-klagomål.docx", "A 29819-2025")</f>
        <v/>
      </c>
      <c r="W10">
        <f>HYPERLINK("https://klasma.github.io/Logging_1472/klagomålsmail/A 29819-2025 FSC-klagomål mail.docx", "A 29819-2025")</f>
        <v/>
      </c>
      <c r="X10">
        <f>HYPERLINK("https://klasma.github.io/Logging_1472/tillsyn/A 29819-2025 tillsynsbegäran.docx", "A 29819-2025")</f>
        <v/>
      </c>
      <c r="Y10">
        <f>HYPERLINK("https://klasma.github.io/Logging_1472/tillsynsmail/A 29819-2025 tillsynsbegäran mail.docx", "A 29819-2025")</f>
        <v/>
      </c>
      <c r="Z10">
        <f>HYPERLINK("https://klasma.github.io/Logging_1472/fåglar/A 29819-2025 prioriterade fågelarter.docx", "A 29819-2025")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46204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46204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46204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46204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46204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46204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46204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46204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65112-2021</t>
        </is>
      </c>
      <c r="B21" s="1" t="n">
        <v>44515</v>
      </c>
      <c r="C21" s="1" t="n">
        <v>46204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23080-2022</t>
        </is>
      </c>
      <c r="B22" s="1" t="n">
        <v>44715</v>
      </c>
      <c r="C22" s="1" t="n">
        <v>46204</v>
      </c>
      <c r="D22" t="inlineStr">
        <is>
          <t>VÄSTRA GÖTALANDS LÄN</t>
        </is>
      </c>
      <c r="E22" t="inlineStr">
        <is>
          <t>TIBRO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46204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46204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46204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46204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46204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46204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46204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46204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46204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62220-2022</t>
        </is>
      </c>
      <c r="B32" s="1" t="n">
        <v>44922</v>
      </c>
      <c r="C32" s="1" t="n">
        <v>46204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46204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</v>
      </c>
      <c r="C34" s="1" t="n">
        <v>46204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45054-2023</t>
        </is>
      </c>
      <c r="B35" s="1" t="n">
        <v>45191</v>
      </c>
      <c r="C35" s="1" t="n">
        <v>46204</v>
      </c>
      <c r="D35" t="inlineStr">
        <is>
          <t>VÄSTRA GÖTALANDS LÄN</t>
        </is>
      </c>
      <c r="E35" t="inlineStr">
        <is>
          <t>TIBRO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58150-2022</t>
        </is>
      </c>
      <c r="B36" s="1" t="n">
        <v>44900</v>
      </c>
      <c r="C36" s="1" t="n">
        <v>46204</v>
      </c>
      <c r="D36" t="inlineStr">
        <is>
          <t>VÄSTRA GÖTALANDS LÄN</t>
        </is>
      </c>
      <c r="E36" t="inlineStr">
        <is>
          <t>TIBRO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10115-2023</t>
        </is>
      </c>
      <c r="B37" s="1" t="n">
        <v>44986</v>
      </c>
      <c r="C37" s="1" t="n">
        <v>46204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46204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5564-2023</t>
        </is>
      </c>
      <c r="B39" s="1" t="n">
        <v>44960</v>
      </c>
      <c r="C39" s="1" t="n">
        <v>46204</v>
      </c>
      <c r="D39" t="inlineStr">
        <is>
          <t>VÄSTRA GÖTALANDS LÄN</t>
        </is>
      </c>
      <c r="E39" t="inlineStr">
        <is>
          <t>TIBRO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418-2023</t>
        </is>
      </c>
      <c r="B40" s="1" t="n">
        <v>44929</v>
      </c>
      <c r="C40" s="1" t="n">
        <v>46204</v>
      </c>
      <c r="D40" t="inlineStr">
        <is>
          <t>VÄSTRA GÖTALANDS LÄN</t>
        </is>
      </c>
      <c r="E40" t="inlineStr">
        <is>
          <t>TIBRO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419-2023</t>
        </is>
      </c>
      <c r="B41" s="1" t="n">
        <v>44929</v>
      </c>
      <c r="C41" s="1" t="n">
        <v>46204</v>
      </c>
      <c r="D41" t="inlineStr">
        <is>
          <t>VÄSTRA GÖTALANDS LÄN</t>
        </is>
      </c>
      <c r="E41" t="inlineStr">
        <is>
          <t>TIBRO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10235-2023</t>
        </is>
      </c>
      <c r="B42" s="1" t="n">
        <v>44986</v>
      </c>
      <c r="C42" s="1" t="n">
        <v>46204</v>
      </c>
      <c r="D42" t="inlineStr">
        <is>
          <t>VÄSTRA GÖTALANDS LÄN</t>
        </is>
      </c>
      <c r="E42" t="inlineStr">
        <is>
          <t>TIBRO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420-2023</t>
        </is>
      </c>
      <c r="B43" s="1" t="n">
        <v>44929</v>
      </c>
      <c r="C43" s="1" t="n">
        <v>46204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506-2023</t>
        </is>
      </c>
      <c r="B44" s="1" t="n">
        <v>44930</v>
      </c>
      <c r="C44" s="1" t="n">
        <v>46204</v>
      </c>
      <c r="D44" t="inlineStr">
        <is>
          <t>VÄSTRA GÖTALANDS LÄN</t>
        </is>
      </c>
      <c r="E44" t="inlineStr">
        <is>
          <t>TIBRO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36868-2022</t>
        </is>
      </c>
      <c r="B45" s="1" t="n">
        <v>44805</v>
      </c>
      <c r="C45" s="1" t="n">
        <v>46204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62221-2022</t>
        </is>
      </c>
      <c r="B46" s="1" t="n">
        <v>44922</v>
      </c>
      <c r="C46" s="1" t="n">
        <v>46204</v>
      </c>
      <c r="D46" t="inlineStr">
        <is>
          <t>VÄSTRA GÖTALANDS LÄN</t>
        </is>
      </c>
      <c r="E46" t="inlineStr">
        <is>
          <t>TIBRO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7310-2026</t>
        </is>
      </c>
      <c r="B47" s="1" t="n">
        <v>46058</v>
      </c>
      <c r="C47" s="1" t="n">
        <v>46204</v>
      </c>
      <c r="D47" t="inlineStr">
        <is>
          <t>VÄSTRA GÖTALANDS LÄN</t>
        </is>
      </c>
      <c r="E47" t="inlineStr">
        <is>
          <t>TIBRO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14383-2024</t>
        </is>
      </c>
      <c r="B48" s="1" t="n">
        <v>45394</v>
      </c>
      <c r="C48" s="1" t="n">
        <v>46204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53160-2023</t>
        </is>
      </c>
      <c r="B49" s="1" t="n">
        <v>45229</v>
      </c>
      <c r="C49" s="1" t="n">
        <v>46204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6355-2024</t>
        </is>
      </c>
      <c r="B50" s="1" t="n">
        <v>45338</v>
      </c>
      <c r="C50" s="1" t="n">
        <v>46204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35055-2024</t>
        </is>
      </c>
      <c r="B51" s="1" t="n">
        <v>45527</v>
      </c>
      <c r="C51" s="1" t="n">
        <v>46204</v>
      </c>
      <c r="D51" t="inlineStr">
        <is>
          <t>VÄSTRA GÖTALANDS LÄN</t>
        </is>
      </c>
      <c r="E51" t="inlineStr">
        <is>
          <t>TIBRO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58365-2022</t>
        </is>
      </c>
      <c r="B52" s="1" t="n">
        <v>44901</v>
      </c>
      <c r="C52" s="1" t="n">
        <v>46204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</v>
      </c>
      <c r="C53" s="1" t="n">
        <v>46204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41130-2025</t>
        </is>
      </c>
      <c r="B54" s="1" t="n">
        <v>45898</v>
      </c>
      <c r="C54" s="1" t="n">
        <v>46204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62219-2022</t>
        </is>
      </c>
      <c r="B55" s="1" t="n">
        <v>44922</v>
      </c>
      <c r="C55" s="1" t="n">
        <v>46204</v>
      </c>
      <c r="D55" t="inlineStr">
        <is>
          <t>VÄSTRA GÖTALANDS LÄN</t>
        </is>
      </c>
      <c r="E55" t="inlineStr">
        <is>
          <t>TIBRO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61975-2021</t>
        </is>
      </c>
      <c r="B56" s="1" t="n">
        <v>44502</v>
      </c>
      <c r="C56" s="1" t="n">
        <v>46204</v>
      </c>
      <c r="D56" t="inlineStr">
        <is>
          <t>VÄSTRA GÖTALANDS LÄN</t>
        </is>
      </c>
      <c r="E56" t="inlineStr">
        <is>
          <t>TIBRO</t>
        </is>
      </c>
      <c r="F56" t="inlineStr">
        <is>
          <t>Kommuner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47649-2023</t>
        </is>
      </c>
      <c r="B57" s="1" t="n">
        <v>45203</v>
      </c>
      <c r="C57" s="1" t="n">
        <v>46204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34530-2024</t>
        </is>
      </c>
      <c r="B58" s="1" t="n">
        <v>45525</v>
      </c>
      <c r="C58" s="1" t="n">
        <v>46204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</v>
      </c>
      <c r="C59" s="1" t="n">
        <v>46204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19306-2025</t>
        </is>
      </c>
      <c r="B60" s="1" t="n">
        <v>45769</v>
      </c>
      <c r="C60" s="1" t="n">
        <v>46204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8969-2023</t>
        </is>
      </c>
      <c r="B61" s="1" t="n">
        <v>44979</v>
      </c>
      <c r="C61" s="1" t="n">
        <v>46204</v>
      </c>
      <c r="D61" t="inlineStr">
        <is>
          <t>VÄSTRA GÖTALANDS LÄN</t>
        </is>
      </c>
      <c r="E61" t="inlineStr">
        <is>
          <t>TIBRO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47903-2025</t>
        </is>
      </c>
      <c r="B62" s="1" t="n">
        <v>45932</v>
      </c>
      <c r="C62" s="1" t="n">
        <v>46204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15409-2024</t>
        </is>
      </c>
      <c r="B63" s="1" t="n">
        <v>45401</v>
      </c>
      <c r="C63" s="1" t="n">
        <v>46204</v>
      </c>
      <c r="D63" t="inlineStr">
        <is>
          <t>VÄSTRA GÖTALANDS LÄN</t>
        </is>
      </c>
      <c r="E63" t="inlineStr">
        <is>
          <t>TIBRO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41931-2024</t>
        </is>
      </c>
      <c r="B64" s="1" t="n">
        <v>45561</v>
      </c>
      <c r="C64" s="1" t="n">
        <v>46204</v>
      </c>
      <c r="D64" t="inlineStr">
        <is>
          <t>VÄSTRA GÖTALANDS LÄN</t>
        </is>
      </c>
      <c r="E64" t="inlineStr">
        <is>
          <t>TIBRO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13616-2026</t>
        </is>
      </c>
      <c r="B65" s="1" t="n">
        <v>46097</v>
      </c>
      <c r="C65" s="1" t="n">
        <v>46204</v>
      </c>
      <c r="D65" t="inlineStr">
        <is>
          <t>VÄSTRA GÖTALANDS LÄN</t>
        </is>
      </c>
      <c r="E65" t="inlineStr">
        <is>
          <t>TIBRO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13618-2026</t>
        </is>
      </c>
      <c r="B66" s="1" t="n">
        <v>46097</v>
      </c>
      <c r="C66" s="1" t="n">
        <v>46204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45665-2021</t>
        </is>
      </c>
      <c r="B67" s="1" t="n">
        <v>44441</v>
      </c>
      <c r="C67" s="1" t="n">
        <v>46204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13617-2026</t>
        </is>
      </c>
      <c r="B68" s="1" t="n">
        <v>46097</v>
      </c>
      <c r="C68" s="1" t="n">
        <v>46204</v>
      </c>
      <c r="D68" t="inlineStr">
        <is>
          <t>VÄSTRA GÖTALANDS LÄN</t>
        </is>
      </c>
      <c r="E68" t="inlineStr">
        <is>
          <t>TIBRO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53651-2025</t>
        </is>
      </c>
      <c r="B69" s="1" t="n">
        <v>45960</v>
      </c>
      <c r="C69" s="1" t="n">
        <v>46204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10836-2023</t>
        </is>
      </c>
      <c r="B70" s="1" t="n">
        <v>44991</v>
      </c>
      <c r="C70" s="1" t="n">
        <v>46204</v>
      </c>
      <c r="D70" t="inlineStr">
        <is>
          <t>VÄSTRA GÖTALANDS LÄN</t>
        </is>
      </c>
      <c r="E70" t="inlineStr">
        <is>
          <t>TIBRO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10737-2023</t>
        </is>
      </c>
      <c r="B71" s="1" t="n">
        <v>44984</v>
      </c>
      <c r="C71" s="1" t="n">
        <v>46204</v>
      </c>
      <c r="D71" t="inlineStr">
        <is>
          <t>VÄSTRA GÖTALANDS LÄN</t>
        </is>
      </c>
      <c r="E71" t="inlineStr">
        <is>
          <t>TIBRO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52631-2024</t>
        </is>
      </c>
      <c r="B72" s="1" t="n">
        <v>45610</v>
      </c>
      <c r="C72" s="1" t="n">
        <v>46204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54449-2025</t>
        </is>
      </c>
      <c r="B73" s="1" t="n">
        <v>45965</v>
      </c>
      <c r="C73" s="1" t="n">
        <v>46204</v>
      </c>
      <c r="D73" t="inlineStr">
        <is>
          <t>VÄSTRA GÖTALANDS LÄN</t>
        </is>
      </c>
      <c r="E73" t="inlineStr">
        <is>
          <t>TIBRO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58101-2023</t>
        </is>
      </c>
      <c r="B74" s="1" t="n">
        <v>45249</v>
      </c>
      <c r="C74" s="1" t="n">
        <v>46204</v>
      </c>
      <c r="D74" t="inlineStr">
        <is>
          <t>VÄSTRA GÖTALANDS LÄN</t>
        </is>
      </c>
      <c r="E74" t="inlineStr">
        <is>
          <t>TIBRO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16618-2025</t>
        </is>
      </c>
      <c r="B75" s="1" t="n">
        <v>45754</v>
      </c>
      <c r="C75" s="1" t="n">
        <v>46204</v>
      </c>
      <c r="D75" t="inlineStr">
        <is>
          <t>VÄSTRA GÖTALANDS LÄN</t>
        </is>
      </c>
      <c r="E75" t="inlineStr">
        <is>
          <t>TIBRO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16586-2026</t>
        </is>
      </c>
      <c r="B76" s="1" t="n">
        <v>46112</v>
      </c>
      <c r="C76" s="1" t="n">
        <v>46204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53253-2023</t>
        </is>
      </c>
      <c r="B77" s="1" t="n">
        <v>45229</v>
      </c>
      <c r="C77" s="1" t="n">
        <v>46204</v>
      </c>
      <c r="D77" t="inlineStr">
        <is>
          <t>VÄSTRA GÖTALANDS LÄN</t>
        </is>
      </c>
      <c r="E77" t="inlineStr">
        <is>
          <t>TIBRO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39459-2023</t>
        </is>
      </c>
      <c r="B78" s="1" t="n">
        <v>45166</v>
      </c>
      <c r="C78" s="1" t="n">
        <v>46204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61701-2025</t>
        </is>
      </c>
      <c r="B79" s="1" t="n">
        <v>46002</v>
      </c>
      <c r="C79" s="1" t="n">
        <v>46204</v>
      </c>
      <c r="D79" t="inlineStr">
        <is>
          <t>VÄSTRA GÖTALANDS LÄN</t>
        </is>
      </c>
      <c r="E79" t="inlineStr">
        <is>
          <t>TIBRO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55788-2023</t>
        </is>
      </c>
      <c r="B80" s="1" t="n">
        <v>45239</v>
      </c>
      <c r="C80" s="1" t="n">
        <v>46204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19310-2025</t>
        </is>
      </c>
      <c r="B81" s="1" t="n">
        <v>45769</v>
      </c>
      <c r="C81" s="1" t="n">
        <v>46204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35048-2024</t>
        </is>
      </c>
      <c r="B82" s="1" t="n">
        <v>45527</v>
      </c>
      <c r="C82" s="1" t="n">
        <v>46204</v>
      </c>
      <c r="D82" t="inlineStr">
        <is>
          <t>VÄSTRA GÖTALANDS LÄN</t>
        </is>
      </c>
      <c r="E82" t="inlineStr">
        <is>
          <t>TIBRO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18004-2026</t>
        </is>
      </c>
      <c r="B83" s="1" t="n">
        <v>46125</v>
      </c>
      <c r="C83" s="1" t="n">
        <v>46204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4316-2024</t>
        </is>
      </c>
      <c r="B84" s="1" t="n">
        <v>45324</v>
      </c>
      <c r="C84" s="1" t="n">
        <v>46204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24539-2026</t>
        </is>
      </c>
      <c r="B85" s="1" t="n">
        <v>46170</v>
      </c>
      <c r="C85" s="1" t="n">
        <v>46204</v>
      </c>
      <c r="D85" t="inlineStr">
        <is>
          <t>VÄSTRA GÖTALANDS LÄN</t>
        </is>
      </c>
      <c r="E85" t="inlineStr">
        <is>
          <t>TIBRO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7179-2023</t>
        </is>
      </c>
      <c r="B86" s="1" t="n">
        <v>44965</v>
      </c>
      <c r="C86" s="1" t="n">
        <v>46204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40671-2024</t>
        </is>
      </c>
      <c r="B87" s="1" t="n">
        <v>45558</v>
      </c>
      <c r="C87" s="1" t="n">
        <v>46204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21738-2023</t>
        </is>
      </c>
      <c r="B88" s="1" t="n">
        <v>45063</v>
      </c>
      <c r="C88" s="1" t="n">
        <v>46204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45669-2023</t>
        </is>
      </c>
      <c r="B89" s="1" t="n">
        <v>45194</v>
      </c>
      <c r="C89" s="1" t="n">
        <v>46204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25063-2025</t>
        </is>
      </c>
      <c r="B90" s="1" t="n">
        <v>45799</v>
      </c>
      <c r="C90" s="1" t="n">
        <v>46204</v>
      </c>
      <c r="D90" t="inlineStr">
        <is>
          <t>VÄSTRA GÖTALANDS LÄN</t>
        </is>
      </c>
      <c r="E90" t="inlineStr">
        <is>
          <t>TIBRO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16687-2025</t>
        </is>
      </c>
      <c r="B91" s="1" t="n">
        <v>45754</v>
      </c>
      <c r="C91" s="1" t="n">
        <v>46204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33522-2024</t>
        </is>
      </c>
      <c r="B92" s="1" t="n">
        <v>45519</v>
      </c>
      <c r="C92" s="1" t="n">
        <v>46204</v>
      </c>
      <c r="D92" t="inlineStr">
        <is>
          <t>VÄSTRA GÖTALANDS LÄN</t>
        </is>
      </c>
      <c r="E92" t="inlineStr">
        <is>
          <t>TIBRO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22418-2025</t>
        </is>
      </c>
      <c r="B93" s="1" t="n">
        <v>45786</v>
      </c>
      <c r="C93" s="1" t="n">
        <v>46204</v>
      </c>
      <c r="D93" t="inlineStr">
        <is>
          <t>VÄSTRA GÖTALANDS LÄN</t>
        </is>
      </c>
      <c r="E93" t="inlineStr">
        <is>
          <t>TIBRO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20430-2025</t>
        </is>
      </c>
      <c r="B94" s="1" t="n">
        <v>45775</v>
      </c>
      <c r="C94" s="1" t="n">
        <v>46204</v>
      </c>
      <c r="D94" t="inlineStr">
        <is>
          <t>VÄSTRA GÖTALANDS LÄN</t>
        </is>
      </c>
      <c r="E94" t="inlineStr">
        <is>
          <t>TIBRO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45588-2022</t>
        </is>
      </c>
      <c r="B95" s="1" t="n">
        <v>44845</v>
      </c>
      <c r="C95" s="1" t="n">
        <v>46204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60259-2024</t>
        </is>
      </c>
      <c r="B96" s="1" t="n">
        <v>45642</v>
      </c>
      <c r="C96" s="1" t="n">
        <v>46204</v>
      </c>
      <c r="D96" t="inlineStr">
        <is>
          <t>VÄSTRA GÖTALANDS LÄN</t>
        </is>
      </c>
      <c r="E96" t="inlineStr">
        <is>
          <t>TIBRO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17150-2023</t>
        </is>
      </c>
      <c r="B97" s="1" t="n">
        <v>45034</v>
      </c>
      <c r="C97" s="1" t="n">
        <v>46204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64438-2023</t>
        </is>
      </c>
      <c r="B98" s="1" t="n">
        <v>45280</v>
      </c>
      <c r="C98" s="1" t="n">
        <v>46204</v>
      </c>
      <c r="D98" t="inlineStr">
        <is>
          <t>VÄSTRA GÖTALANDS LÄN</t>
        </is>
      </c>
      <c r="E98" t="inlineStr">
        <is>
          <t>TIBRO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65114-2021</t>
        </is>
      </c>
      <c r="B99" s="1" t="n">
        <v>44515</v>
      </c>
      <c r="C99" s="1" t="n">
        <v>46204</v>
      </c>
      <c r="D99" t="inlineStr">
        <is>
          <t>VÄSTRA GÖTALANDS LÄN</t>
        </is>
      </c>
      <c r="E99" t="inlineStr">
        <is>
          <t>TIBRO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62223-2022</t>
        </is>
      </c>
      <c r="B100" s="1" t="n">
        <v>44922</v>
      </c>
      <c r="C100" s="1" t="n">
        <v>46204</v>
      </c>
      <c r="D100" t="inlineStr">
        <is>
          <t>VÄSTRA GÖTALANDS LÄN</t>
        </is>
      </c>
      <c r="E100" t="inlineStr">
        <is>
          <t>TIBRO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61133-2025</t>
        </is>
      </c>
      <c r="B101" s="1" t="n">
        <v>46000</v>
      </c>
      <c r="C101" s="1" t="n">
        <v>46204</v>
      </c>
      <c r="D101" t="inlineStr">
        <is>
          <t>VÄSTRA GÖTALANDS LÄN</t>
        </is>
      </c>
      <c r="E101" t="inlineStr">
        <is>
          <t>TIBRO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46204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39211-2023</t>
        </is>
      </c>
      <c r="B103" s="1" t="n">
        <v>45166</v>
      </c>
      <c r="C103" s="1" t="n">
        <v>46204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</v>
      </c>
      <c r="C104" s="1" t="n">
        <v>46204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59273-2023</t>
        </is>
      </c>
      <c r="B105" s="1" t="n">
        <v>45253</v>
      </c>
      <c r="C105" s="1" t="n">
        <v>46204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45881-2024</t>
        </is>
      </c>
      <c r="B106" s="1" t="n">
        <v>45580</v>
      </c>
      <c r="C106" s="1" t="n">
        <v>46204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17611-2025</t>
        </is>
      </c>
      <c r="B107" s="1" t="n">
        <v>45757</v>
      </c>
      <c r="C107" s="1" t="n">
        <v>46204</v>
      </c>
      <c r="D107" t="inlineStr">
        <is>
          <t>VÄSTRA GÖTALANDS LÄN</t>
        </is>
      </c>
      <c r="E107" t="inlineStr">
        <is>
          <t>TIBRO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21403-2026</t>
        </is>
      </c>
      <c r="B108" s="1" t="n">
        <v>46146</v>
      </c>
      <c r="C108" s="1" t="n">
        <v>46204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19384-2023</t>
        </is>
      </c>
      <c r="B109" s="1" t="n">
        <v>45049</v>
      </c>
      <c r="C109" s="1" t="n">
        <v>46204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27990-2026</t>
        </is>
      </c>
      <c r="B110" s="1" t="n">
        <v>46195</v>
      </c>
      <c r="C110" s="1" t="n">
        <v>46204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60258-2024</t>
        </is>
      </c>
      <c r="B111" s="1" t="n">
        <v>45642</v>
      </c>
      <c r="C111" s="1" t="n">
        <v>46204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47650-2023</t>
        </is>
      </c>
      <c r="B112" s="1" t="n">
        <v>45203</v>
      </c>
      <c r="C112" s="1" t="n">
        <v>46204</v>
      </c>
      <c r="D112" t="inlineStr">
        <is>
          <t>VÄSTRA GÖTALANDS LÄN</t>
        </is>
      </c>
      <c r="E112" t="inlineStr">
        <is>
          <t>TIBRO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6872-2022</t>
        </is>
      </c>
      <c r="B113" s="1" t="n">
        <v>44602</v>
      </c>
      <c r="C113" s="1" t="n">
        <v>46204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58633-2023</t>
        </is>
      </c>
      <c r="B114" s="1" t="n">
        <v>45251</v>
      </c>
      <c r="C114" s="1" t="n">
        <v>46204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29728-2022</t>
        </is>
      </c>
      <c r="B115" s="1" t="n">
        <v>44755</v>
      </c>
      <c r="C115" s="1" t="n">
        <v>46204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20813-2026</t>
        </is>
      </c>
      <c r="B116" s="1" t="n">
        <v>46141</v>
      </c>
      <c r="C116" s="1" t="n">
        <v>46204</v>
      </c>
      <c r="D116" t="inlineStr">
        <is>
          <t>VÄSTRA GÖTALANDS LÄN</t>
        </is>
      </c>
      <c r="E116" t="inlineStr">
        <is>
          <t>TIBRO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48510-2024</t>
        </is>
      </c>
      <c r="B117" s="1" t="n">
        <v>45591</v>
      </c>
      <c r="C117" s="1" t="n">
        <v>46204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54948-2024</t>
        </is>
      </c>
      <c r="B118" s="1" t="n">
        <v>45619</v>
      </c>
      <c r="C118" s="1" t="n">
        <v>46204</v>
      </c>
      <c r="D118" t="inlineStr">
        <is>
          <t>VÄSTRA GÖTALANDS LÄN</t>
        </is>
      </c>
      <c r="E118" t="inlineStr">
        <is>
          <t>TIBRO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9954-2025</t>
        </is>
      </c>
      <c r="B119" s="1" t="n">
        <v>45719</v>
      </c>
      <c r="C119" s="1" t="n">
        <v>46204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4241-2023</t>
        </is>
      </c>
      <c r="B120" s="1" t="n">
        <v>44953</v>
      </c>
      <c r="C120" s="1" t="n">
        <v>46204</v>
      </c>
      <c r="D120" t="inlineStr">
        <is>
          <t>VÄSTRA GÖTALANDS LÄN</t>
        </is>
      </c>
      <c r="E120" t="inlineStr">
        <is>
          <t>TIBRO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4242-2023</t>
        </is>
      </c>
      <c r="B121" s="1" t="n">
        <v>44953</v>
      </c>
      <c r="C121" s="1" t="n">
        <v>46204</v>
      </c>
      <c r="D121" t="inlineStr">
        <is>
          <t>VÄSTRA GÖTALANDS LÄN</t>
        </is>
      </c>
      <c r="E121" t="inlineStr">
        <is>
          <t>TIBRO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53179-2023</t>
        </is>
      </c>
      <c r="B122" s="1" t="n">
        <v>45229</v>
      </c>
      <c r="C122" s="1" t="n">
        <v>46204</v>
      </c>
      <c r="D122" t="inlineStr">
        <is>
          <t>VÄSTRA GÖTALANDS LÄN</t>
        </is>
      </c>
      <c r="E122" t="inlineStr">
        <is>
          <t>TIBRO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42016-2023</t>
        </is>
      </c>
      <c r="B123" s="1" t="n">
        <v>45177</v>
      </c>
      <c r="C123" s="1" t="n">
        <v>46204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22028-2025</t>
        </is>
      </c>
      <c r="B124" s="1" t="n">
        <v>45785</v>
      </c>
      <c r="C124" s="1" t="n">
        <v>46204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3572-2025</t>
        </is>
      </c>
      <c r="B125" s="1" t="n">
        <v>45680</v>
      </c>
      <c r="C125" s="1" t="n">
        <v>46204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54412-2024</t>
        </is>
      </c>
      <c r="B126" s="1" t="n">
        <v>45617</v>
      </c>
      <c r="C126" s="1" t="n">
        <v>46204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1191-2025</t>
        </is>
      </c>
      <c r="B127" s="1" t="n">
        <v>45666</v>
      </c>
      <c r="C127" s="1" t="n">
        <v>46204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22828-2025</t>
        </is>
      </c>
      <c r="B128" s="1" t="n">
        <v>45789</v>
      </c>
      <c r="C128" s="1" t="n">
        <v>46204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22827-2025</t>
        </is>
      </c>
      <c r="B129" s="1" t="n">
        <v>45789</v>
      </c>
      <c r="C129" s="1" t="n">
        <v>46204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45599-2024</t>
        </is>
      </c>
      <c r="B130" s="1" t="n">
        <v>45579</v>
      </c>
      <c r="C130" s="1" t="n">
        <v>46204</v>
      </c>
      <c r="D130" t="inlineStr">
        <is>
          <t>VÄSTRA GÖTALANDS LÄN</t>
        </is>
      </c>
      <c r="E130" t="inlineStr">
        <is>
          <t>TIBRO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8450-2025</t>
        </is>
      </c>
      <c r="B131" s="1" t="n">
        <v>45709</v>
      </c>
      <c r="C131" s="1" t="n">
        <v>46204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10462-2025</t>
        </is>
      </c>
      <c r="B132" s="1" t="n">
        <v>45720</v>
      </c>
      <c r="C132" s="1" t="n">
        <v>46204</v>
      </c>
      <c r="D132" t="inlineStr">
        <is>
          <t>VÄSTRA GÖTALANDS LÄN</t>
        </is>
      </c>
      <c r="E132" t="inlineStr">
        <is>
          <t>TIBRO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28703-2025</t>
        </is>
      </c>
      <c r="B133" s="1" t="n">
        <v>45820</v>
      </c>
      <c r="C133" s="1" t="n">
        <v>46204</v>
      </c>
      <c r="D133" t="inlineStr">
        <is>
          <t>VÄSTRA GÖTALANDS LÄN</t>
        </is>
      </c>
      <c r="E133" t="inlineStr">
        <is>
          <t>TIBRO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2026-07-01T01:00:44Z</dcterms:created>
  <dcterms:modified xmlns:dcterms="http://purl.org/dc/terms/" xmlns:xsi="http://www.w3.org/2001/XMLSchema-instance" xsi:type="dcterms:W3CDTF">2026-07-01T01:00:44Z</dcterms:modified>
</cp:coreProperties>
</file>