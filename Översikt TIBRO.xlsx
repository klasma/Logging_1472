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4415-2024</t>
        </is>
      </c>
      <c r="B2" t="inlineStr">
        <is>
          <t>samrådsanmälan</t>
        </is>
      </c>
      <c r="C2" t="inlineStr">
        <is>
          <t>Annan skogsbruksåtgärd</t>
        </is>
      </c>
      <c r="D2" s="1" t="n">
        <v>45590</v>
      </c>
      <c r="E2" s="1" t="n">
        <v>46322</v>
      </c>
      <c r="F2" t="inlineStr">
        <is>
          <t>VÄSTRA GÖTALANDS LÄN</t>
        </is>
      </c>
      <c r="G2" t="inlineStr">
        <is>
          <t>TIBRO</t>
        </is>
      </c>
      <c r="I2" t="n">
        <v>2.5</v>
      </c>
      <c r="J2" t="n">
        <v>1</v>
      </c>
      <c r="K2" t="n">
        <v>2</v>
      </c>
      <c r="L2" t="n">
        <v>1</v>
      </c>
      <c r="M2" t="n">
        <v>0</v>
      </c>
      <c r="N2" t="n">
        <v>2</v>
      </c>
      <c r="O2" t="n">
        <v>0</v>
      </c>
      <c r="P2" t="n">
        <v>0</v>
      </c>
      <c r="Q2" t="n">
        <v>3</v>
      </c>
      <c r="R2" t="n">
        <v>2</v>
      </c>
      <c r="S2" t="n">
        <v>6</v>
      </c>
      <c r="T2" t="n">
        <v>9</v>
      </c>
      <c r="U2" t="n">
        <v>0</v>
      </c>
      <c r="V2" s="2" t="inlineStr">
        <is>
          <t>Ask
Skogsalm
Lunglav
Hasselticka
Liten baronmossa
Blåsippa</t>
        </is>
      </c>
      <c r="W2">
        <f>HYPERLINK("https://klasma.github.io/Logging_1472/artfynd/S 4415-2024 artfynd.xlsx", "S 4415-2024")</f>
        <v/>
      </c>
      <c r="X2">
        <f>HYPERLINK("https://klasma.github.io/Logging_1472/kartor/S 4415-2024 karta.png", "S 4415-2024")</f>
        <v/>
      </c>
      <c r="Y2">
        <f>HYPERLINK("https://klasma.github.io/Logging_1472/kartor_geotiff/S 4415-2024 georefererad karta.tif", "S 4415-2024")</f>
        <v/>
      </c>
      <c r="AA2">
        <f>HYPERLINK("https://klasma.github.io/Logging_1472/klagomål/S 4415-2024 FSC-klagomål.docx", "S 4415-2024")</f>
        <v/>
      </c>
      <c r="AB2">
        <f>HYPERLINK("https://klasma.github.io/Logging_1472/klagomålsmail/S 4415-2024 FSC-klagomål mail.docx", "S 4415-2024")</f>
        <v/>
      </c>
      <c r="AC2">
        <f>HYPERLINK("https://klasma.github.io/Logging_1472/tillsyn/S 4415-2024 tillsynsbegäran.docx", "S 4415-2024")</f>
        <v/>
      </c>
      <c r="AD2">
        <f>HYPERLINK("https://klasma.github.io/Logging_1472/tillsynsmail/S 4415-2024 tillsynsbegäran mail.docx", "S 4415-2024")</f>
        <v/>
      </c>
    </row>
    <row r="3" ht="15" customHeight="1">
      <c r="A3" t="inlineStr">
        <is>
          <t>A 30507-2026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46210</v>
      </c>
      <c r="E3" s="1" t="n">
        <v>46322</v>
      </c>
      <c r="F3" t="inlineStr">
        <is>
          <t>VÄSTRA GÖTALANDS LÄN</t>
        </is>
      </c>
      <c r="G3" t="inlineStr">
        <is>
          <t>TIBRO</t>
        </is>
      </c>
      <c r="I3" t="n">
        <v>4.3</v>
      </c>
      <c r="J3" t="n">
        <v>1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</v>
      </c>
      <c r="T3" t="n">
        <v>4</v>
      </c>
      <c r="U3" t="n">
        <v>0</v>
      </c>
      <c r="V3" s="2" t="inlineStr">
        <is>
          <t>Dvärghäxört
Skogsbräsma
Svartvit flugsnappare</t>
        </is>
      </c>
      <c r="W3">
        <f>HYPERLINK("https://klasma.github.io/Logging_1472/artfynd/A 30507-2026 artfynd.xlsx", "A 30507-2026")</f>
        <v/>
      </c>
      <c r="X3">
        <f>HYPERLINK("https://klasma.github.io/Logging_1472/kartor/A 30507-2026 karta.png", "A 30507-2026")</f>
        <v/>
      </c>
      <c r="Y3">
        <f>HYPERLINK("https://klasma.github.io/Logging_1472/kartor_geotiff/A 30507-2026 georefererad karta.tif", "A 30507-2026")</f>
        <v/>
      </c>
      <c r="AA3">
        <f>HYPERLINK("https://klasma.github.io/Logging_1472/klagomål/A 30507-2026 FSC-klagomål.docx", "A 30507-2026")</f>
        <v/>
      </c>
      <c r="AB3">
        <f>HYPERLINK("https://klasma.github.io/Logging_1472/klagomålsmail/A 30507-2026 FSC-klagomål mail.docx", "A 30507-2026")</f>
        <v/>
      </c>
      <c r="AC3">
        <f>HYPERLINK("https://klasma.github.io/Logging_1472/tillsyn/A 30507-2026 tillsynsbegäran.docx", "A 30507-2026")</f>
        <v/>
      </c>
      <c r="AD3">
        <f>HYPERLINK("https://klasma.github.io/Logging_1472/tillsynsmail/A 30507-2026 tillsynsbegäran mail.docx", "A 30507-2026")</f>
        <v/>
      </c>
    </row>
    <row r="4" ht="15" customHeight="1">
      <c r="A4" t="inlineStr">
        <is>
          <t>A 29724-2022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44755</v>
      </c>
      <c r="E4" s="1" t="n">
        <v>46322</v>
      </c>
      <c r="F4" t="inlineStr">
        <is>
          <t>VÄSTRA GÖTALANDS LÄN</t>
        </is>
      </c>
      <c r="G4" t="inlineStr">
        <is>
          <t>TIBRO</t>
        </is>
      </c>
      <c r="I4" t="n">
        <v>11.8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2</v>
      </c>
      <c r="T4" t="n">
        <v>7</v>
      </c>
      <c r="U4" t="n">
        <v>7</v>
      </c>
      <c r="V4" s="2" t="inlineStr">
        <is>
          <t>Knärot
Flagellkvastmossa</t>
        </is>
      </c>
      <c r="W4">
        <f>HYPERLINK("https://klasma.github.io/Logging_1472/artfynd/A 29724-2022 artfynd.xlsx", "A 29724-2022")</f>
        <v/>
      </c>
      <c r="X4">
        <f>HYPERLINK("https://klasma.github.io/Logging_1472/kartor/A 29724-2022 karta.png", "A 29724-2022")</f>
        <v/>
      </c>
      <c r="Y4">
        <f>HYPERLINK("https://klasma.github.io/Logging_1472/kartor_geotiff/A 29724-2022 georefererad karta.tif", "A 29724-2022")</f>
        <v/>
      </c>
      <c r="Z4">
        <f>HYPERLINK("https://klasma.github.io/Logging_1472/knärot/A 29724-2022 karta knärot.png", "A 29724-2022")</f>
        <v/>
      </c>
      <c r="AA4">
        <f>HYPERLINK("https://klasma.github.io/Logging_1472/klagomål/A 29724-2022 FSC-klagomål.docx", "A 29724-2022")</f>
        <v/>
      </c>
      <c r="AB4">
        <f>HYPERLINK("https://klasma.github.io/Logging_1472/klagomålsmail/A 29724-2022 FSC-klagomål mail.docx", "A 29724-2022")</f>
        <v/>
      </c>
      <c r="AC4">
        <f>HYPERLINK("https://klasma.github.io/Logging_1472/tillsyn/A 29724-2022 tillsynsbegäran.docx", "A 29724-2022")</f>
        <v/>
      </c>
      <c r="AD4">
        <f>HYPERLINK("https://klasma.github.io/Logging_1472/tillsynsmail/A 29724-2022 tillsynsbegäran mail.docx", "A 29724-2022")</f>
        <v/>
      </c>
    </row>
    <row r="5" ht="15" customHeight="1">
      <c r="A5" t="inlineStr">
        <is>
          <t>A 417-2023</t>
        </is>
      </c>
      <c r="B5" t="inlineStr">
        <is>
          <t>avverkningsanmälan</t>
        </is>
      </c>
      <c r="C5" t="inlineStr">
        <is>
          <t>Avverkning för annat ändamål</t>
        </is>
      </c>
      <c r="D5" s="1" t="n">
        <v>44929</v>
      </c>
      <c r="E5" s="1" t="n">
        <v>46322</v>
      </c>
      <c r="F5" t="inlineStr">
        <is>
          <t>VÄSTRA GÖTALANDS LÄN</t>
        </is>
      </c>
      <c r="G5" t="inlineStr">
        <is>
          <t>TIBRO</t>
        </is>
      </c>
      <c r="I5" t="n">
        <v>1.7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2</v>
      </c>
      <c r="U5" t="n">
        <v>2</v>
      </c>
      <c r="V5" s="2" t="inlineStr">
        <is>
          <t>Nattskärra
Huggorm</t>
        </is>
      </c>
      <c r="W5">
        <f>HYPERLINK("https://klasma.github.io/Logging_1472/artfynd/A 417-2023 artfynd.xlsx", "A 417-2023")</f>
        <v/>
      </c>
      <c r="X5">
        <f>HYPERLINK("https://klasma.github.io/Logging_1472/kartor/A 417-2023 karta.png", "A 417-2023")</f>
        <v/>
      </c>
      <c r="Y5">
        <f>HYPERLINK("https://klasma.github.io/Logging_1472/kartor_geotiff/A 417-2023 georefererad karta.tif", "A 417-2023")</f>
        <v/>
      </c>
      <c r="AA5">
        <f>HYPERLINK("https://klasma.github.io/Logging_1472/klagomål/A 417-2023 FSC-klagomål.docx", "A 417-2023")</f>
        <v/>
      </c>
      <c r="AB5">
        <f>HYPERLINK("https://klasma.github.io/Logging_1472/klagomålsmail/A 417-2023 FSC-klagomål mail.docx", "A 417-2023")</f>
        <v/>
      </c>
      <c r="AC5">
        <f>HYPERLINK("https://klasma.github.io/Logging_1472/tillsyn/A 417-2023 tillsynsbegäran.docx", "A 417-2023")</f>
        <v/>
      </c>
      <c r="AD5">
        <f>HYPERLINK("https://klasma.github.io/Logging_1472/tillsynsmail/A 417-2023 tillsynsbegäran mail.docx", "A 417-2023")</f>
        <v/>
      </c>
      <c r="AE5">
        <f>HYPERLINK("https://klasma.github.io/Logging_1472/fåglar/A 417-2023 prioriterade fågelarter.docx", "A 417-2023")</f>
        <v/>
      </c>
    </row>
    <row r="6" ht="15" customHeight="1">
      <c r="A6" t="inlineStr">
        <is>
          <t>A 2764-2023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44944</v>
      </c>
      <c r="E6" s="1" t="n">
        <v>46322</v>
      </c>
      <c r="F6" t="inlineStr">
        <is>
          <t>VÄSTRA GÖTALANDS LÄN</t>
        </is>
      </c>
      <c r="G6" t="inlineStr">
        <is>
          <t>TIBRO</t>
        </is>
      </c>
      <c r="I6" t="n">
        <v>7.6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2</v>
      </c>
      <c r="R6" t="n">
        <v>1</v>
      </c>
      <c r="S6" t="n">
        <v>2</v>
      </c>
      <c r="T6" t="n">
        <v>2</v>
      </c>
      <c r="U6" t="n">
        <v>2</v>
      </c>
      <c r="V6" s="2" t="inlineStr">
        <is>
          <t>Ask
Vårstarr</t>
        </is>
      </c>
      <c r="W6">
        <f>HYPERLINK("https://klasma.github.io/Logging_1472/artfynd/A 2764-2023 artfynd.xlsx", "A 2764-2023")</f>
        <v/>
      </c>
      <c r="X6">
        <f>HYPERLINK("https://klasma.github.io/Logging_1472/kartor/A 2764-2023 karta.png", "A 2764-2023")</f>
        <v/>
      </c>
      <c r="Y6">
        <f>HYPERLINK("https://klasma.github.io/Logging_1472/kartor_geotiff/A 2764-2023 georefererad karta.tif", "A 2764-2023")</f>
        <v/>
      </c>
      <c r="AA6">
        <f>HYPERLINK("https://klasma.github.io/Logging_1472/klagomål/A 2764-2023 FSC-klagomål.docx", "A 2764-2023")</f>
        <v/>
      </c>
      <c r="AB6">
        <f>HYPERLINK("https://klasma.github.io/Logging_1472/klagomålsmail/A 2764-2023 FSC-klagomål mail.docx", "A 2764-2023")</f>
        <v/>
      </c>
      <c r="AC6">
        <f>HYPERLINK("https://klasma.github.io/Logging_1472/tillsyn/A 2764-2023 tillsynsbegäran.docx", "A 2764-2023")</f>
        <v/>
      </c>
      <c r="AD6">
        <f>HYPERLINK("https://klasma.github.io/Logging_1472/tillsynsmail/A 2764-2023 tillsynsbegäran mail.docx", "A 2764-2023")</f>
        <v/>
      </c>
    </row>
    <row r="7" ht="15" customHeight="1">
      <c r="A7" t="inlineStr">
        <is>
          <t>S 2391-2022</t>
        </is>
      </c>
      <c r="B7" t="inlineStr">
        <is>
          <t>samrådsanmälan</t>
        </is>
      </c>
      <c r="C7" t="inlineStr">
        <is>
          <t>Annan skogsbruksåtgärd</t>
        </is>
      </c>
      <c r="D7" s="1" t="n">
        <v>44690</v>
      </c>
      <c r="E7" s="1" t="n">
        <v>46322</v>
      </c>
      <c r="F7" t="inlineStr">
        <is>
          <t>VÄSTRA GÖTALANDS LÄN</t>
        </is>
      </c>
      <c r="G7" t="inlineStr">
        <is>
          <t>TIBRO</t>
        </is>
      </c>
      <c r="I7" t="n">
        <v>1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2</v>
      </c>
      <c r="U7" t="n">
        <v>0</v>
      </c>
      <c r="V7" s="2" t="inlineStr">
        <is>
          <t>Blåsippa
Lopplummer (aggregat)</t>
        </is>
      </c>
      <c r="W7">
        <f>HYPERLINK("https://klasma.github.io/Logging_1472/artfynd/S 2391-2022 artfynd.xlsx", "S 2391-2022")</f>
        <v/>
      </c>
      <c r="X7">
        <f>HYPERLINK("https://klasma.github.io/Logging_1472/kartor/S 2391-2022 karta.png", "S 2391-2022")</f>
        <v/>
      </c>
      <c r="Y7">
        <f>HYPERLINK("https://klasma.github.io/Logging_1472/kartor_geotiff/S 2391-2022 georefererad karta.tif", "S 2391-2022")</f>
        <v/>
      </c>
      <c r="AA7">
        <f>HYPERLINK("https://klasma.github.io/Logging_1472/klagomål/S 2391-2022 FSC-klagomål.docx", "S 2391-2022")</f>
        <v/>
      </c>
      <c r="AB7">
        <f>HYPERLINK("https://klasma.github.io/Logging_1472/klagomålsmail/S 2391-2022 FSC-klagomål mail.docx", "S 2391-2022")</f>
        <v/>
      </c>
      <c r="AC7">
        <f>HYPERLINK("https://klasma.github.io/Logging_1472/tillsyn/S 2391-2022 tillsynsbegäran.docx", "S 2391-2022")</f>
        <v/>
      </c>
      <c r="AD7">
        <f>HYPERLINK("https://klasma.github.io/Logging_1472/tillsynsmail/S 2391-2022 tillsynsbegäran mail.docx", "S 2391-2022")</f>
        <v/>
      </c>
    </row>
    <row r="8" ht="15" customHeight="1">
      <c r="A8" t="inlineStr">
        <is>
          <t>A 56101-2025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45973</v>
      </c>
      <c r="E8" s="1" t="n">
        <v>46322</v>
      </c>
      <c r="F8" t="inlineStr">
        <is>
          <t>VÄSTRA GÖTALANDS LÄN</t>
        </is>
      </c>
      <c r="G8" t="inlineStr">
        <is>
          <t>TIBRO</t>
        </is>
      </c>
      <c r="I8" t="n">
        <v>5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s="2" t="inlineStr">
        <is>
          <t>Hasselticka</t>
        </is>
      </c>
      <c r="W8">
        <f>HYPERLINK("https://klasma.github.io/Logging_1472/artfynd/A 56101-2025 artfynd.xlsx", "A 56101-2025")</f>
        <v/>
      </c>
      <c r="X8">
        <f>HYPERLINK("https://klasma.github.io/Logging_1472/kartor/A 56101-2025 karta.png", "A 56101-2025")</f>
        <v/>
      </c>
      <c r="Y8">
        <f>HYPERLINK("https://klasma.github.io/Logging_1472/kartor_geotiff/A 56101-2025 georefererad karta.tif", "A 56101-2025")</f>
        <v/>
      </c>
      <c r="AA8">
        <f>HYPERLINK("https://klasma.github.io/Logging_1472/klagomål/A 56101-2025 FSC-klagomål.docx", "A 56101-2025")</f>
        <v/>
      </c>
      <c r="AB8">
        <f>HYPERLINK("https://klasma.github.io/Logging_1472/klagomålsmail/A 56101-2025 FSC-klagomål mail.docx", "A 56101-2025")</f>
        <v/>
      </c>
      <c r="AC8">
        <f>HYPERLINK("https://klasma.github.io/Logging_1472/tillsyn/A 56101-2025 tillsynsbegäran.docx", "A 56101-2025")</f>
        <v/>
      </c>
      <c r="AD8">
        <f>HYPERLINK("https://klasma.github.io/Logging_1472/tillsynsmail/A 56101-2025 tillsynsbegäran mail.docx", "A 56101-2025")</f>
        <v/>
      </c>
    </row>
    <row r="9" ht="15" customHeight="1">
      <c r="A9" t="inlineStr">
        <is>
          <t>A 29819-2025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45825</v>
      </c>
      <c r="E9" s="1" t="n">
        <v>46322</v>
      </c>
      <c r="F9" t="inlineStr">
        <is>
          <t>VÄSTRA GÖTALANDS LÄN</t>
        </is>
      </c>
      <c r="G9" t="inlineStr">
        <is>
          <t>TIBRO</t>
        </is>
      </c>
      <c r="I9" t="n">
        <v>2.1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s="2" t="inlineStr">
        <is>
          <t>Nattskärra</t>
        </is>
      </c>
      <c r="W9">
        <f>HYPERLINK("https://klasma.github.io/Logging_1472/artfynd/A 29819-2025 artfynd.xlsx", "A 29819-2025")</f>
        <v/>
      </c>
      <c r="X9">
        <f>HYPERLINK("https://klasma.github.io/Logging_1472/kartor/A 29819-2025 karta.png", "A 29819-2025")</f>
        <v/>
      </c>
      <c r="Y9">
        <f>HYPERLINK("https://klasma.github.io/Logging_1472/kartor_geotiff/A 29819-2025 georefererad karta.tif", "A 29819-2025")</f>
        <v/>
      </c>
      <c r="AA9">
        <f>HYPERLINK("https://klasma.github.io/Logging_1472/klagomål/A 29819-2025 FSC-klagomål.docx", "A 29819-2025")</f>
        <v/>
      </c>
      <c r="AB9">
        <f>HYPERLINK("https://klasma.github.io/Logging_1472/klagomålsmail/A 29819-2025 FSC-klagomål mail.docx", "A 29819-2025")</f>
        <v/>
      </c>
      <c r="AC9">
        <f>HYPERLINK("https://klasma.github.io/Logging_1472/tillsyn/A 29819-2025 tillsynsbegäran.docx", "A 29819-2025")</f>
        <v/>
      </c>
      <c r="AD9">
        <f>HYPERLINK("https://klasma.github.io/Logging_1472/tillsynsmail/A 29819-2025 tillsynsbegäran mail.docx", "A 29819-2025")</f>
        <v/>
      </c>
      <c r="AE9">
        <f>HYPERLINK("https://klasma.github.io/Logging_1472/fåglar/A 29819-2025 prioriterade fågelarter.docx", "A 29819-2025")</f>
        <v/>
      </c>
    </row>
    <row r="10" ht="15" customHeight="1">
      <c r="A10" t="inlineStr">
        <is>
          <t>A 2763-2023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44944</v>
      </c>
      <c r="E10" s="1" t="n">
        <v>46322</v>
      </c>
      <c r="F10" t="inlineStr">
        <is>
          <t>VÄSTRA GÖTALANDS LÄN</t>
        </is>
      </c>
      <c r="G10" t="inlineStr">
        <is>
          <t>TIBRO</t>
        </is>
      </c>
      <c r="I10" t="n">
        <v>2.5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s="2" t="inlineStr">
        <is>
          <t>Revlummer</t>
        </is>
      </c>
      <c r="W10">
        <f>HYPERLINK("https://klasma.github.io/Logging_1472/artfynd/A 2763-2023 artfynd.xlsx", "A 2763-2023")</f>
        <v/>
      </c>
      <c r="X10">
        <f>HYPERLINK("https://klasma.github.io/Logging_1472/kartor/A 2763-2023 karta.png", "A 2763-2023")</f>
        <v/>
      </c>
      <c r="Y10">
        <f>HYPERLINK("https://klasma.github.io/Logging_1472/kartor_geotiff/A 2763-2023 georefererad karta.tif", "A 2763-2023")</f>
        <v/>
      </c>
      <c r="AA10">
        <f>HYPERLINK("https://klasma.github.io/Logging_1472/klagomål/A 2763-2023 FSC-klagomål.docx", "A 2763-2023")</f>
        <v/>
      </c>
      <c r="AB10">
        <f>HYPERLINK("https://klasma.github.io/Logging_1472/klagomålsmail/A 2763-2023 FSC-klagomål mail.docx", "A 2763-2023")</f>
        <v/>
      </c>
      <c r="AC10">
        <f>HYPERLINK("https://klasma.github.io/Logging_1472/tillsyn/A 2763-2023 tillsynsbegäran.docx", "A 2763-2023")</f>
        <v/>
      </c>
      <c r="AD10">
        <f>HYPERLINK("https://klasma.github.io/Logging_1472/tillsynsmail/A 2763-2023 tillsynsbegäran mail.docx", "A 2763-2023")</f>
        <v/>
      </c>
    </row>
    <row r="11" ht="15" customHeight="1">
      <c r="A11" t="inlineStr">
        <is>
          <t>A 6870-2022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44602</v>
      </c>
      <c r="E11" s="1" t="n">
        <v>46322</v>
      </c>
      <c r="F11" t="inlineStr">
        <is>
          <t>VÄSTRA GÖTALANDS LÄN</t>
        </is>
      </c>
      <c r="G11" t="inlineStr">
        <is>
          <t>TIBRO</t>
        </is>
      </c>
      <c r="I11" t="n">
        <v>1.8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25943-2022</t>
        </is>
      </c>
      <c r="B12" t="inlineStr">
        <is>
          <t>avverkningsanmälan</t>
        </is>
      </c>
      <c r="C12" t="inlineStr">
        <is>
          <t>Avverkning för annat ändamål</t>
        </is>
      </c>
      <c r="D12" s="1" t="n">
        <v>44734</v>
      </c>
      <c r="E12" s="1" t="n">
        <v>46322</v>
      </c>
      <c r="F12" t="inlineStr">
        <is>
          <t>VÄSTRA GÖTALANDS LÄN</t>
        </is>
      </c>
      <c r="G12" t="inlineStr">
        <is>
          <t>TIBRO</t>
        </is>
      </c>
      <c r="I12" t="n">
        <v>1.7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6871-2022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44602</v>
      </c>
      <c r="E13" s="1" t="n">
        <v>46322</v>
      </c>
      <c r="F13" t="inlineStr">
        <is>
          <t>VÄSTRA GÖTALANDS LÄN</t>
        </is>
      </c>
      <c r="G13" t="inlineStr">
        <is>
          <t>TIBRO</t>
        </is>
      </c>
      <c r="I13" t="n">
        <v>0.8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6800-2022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44602</v>
      </c>
      <c r="E14" s="1" t="n">
        <v>46322</v>
      </c>
      <c r="F14" t="inlineStr">
        <is>
          <t>VÄSTRA GÖTALANDS LÄN</t>
        </is>
      </c>
      <c r="G14" t="inlineStr">
        <is>
          <t>TIBRO</t>
        </is>
      </c>
      <c r="I14" t="n">
        <v>1.1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6822-2022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44602</v>
      </c>
      <c r="E15" s="1" t="n">
        <v>46322</v>
      </c>
      <c r="F15" t="inlineStr">
        <is>
          <t>VÄSTRA GÖTALANDS LÄN</t>
        </is>
      </c>
      <c r="G15" t="inlineStr">
        <is>
          <t>TIBRO</t>
        </is>
      </c>
      <c r="I15" t="n">
        <v>0.8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10328-2022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44623</v>
      </c>
      <c r="E16" s="1" t="n">
        <v>46322</v>
      </c>
      <c r="F16" t="inlineStr">
        <is>
          <t>VÄSTRA GÖTALANDS LÄN</t>
        </is>
      </c>
      <c r="G16" t="inlineStr">
        <is>
          <t>TIBRO</t>
        </is>
      </c>
      <c r="I16" t="n">
        <v>5.4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36402-2022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44804</v>
      </c>
      <c r="E17" s="1" t="n">
        <v>46322</v>
      </c>
      <c r="F17" t="inlineStr">
        <is>
          <t>VÄSTRA GÖTALANDS LÄN</t>
        </is>
      </c>
      <c r="G17" t="inlineStr">
        <is>
          <t>TIBRO</t>
        </is>
      </c>
      <c r="H17" t="inlineStr">
        <is>
          <t>Sveaskog</t>
        </is>
      </c>
      <c r="I17" t="n">
        <v>2.4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64871-2021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44512</v>
      </c>
      <c r="E18" s="1" t="n">
        <v>46322</v>
      </c>
      <c r="F18" t="inlineStr">
        <is>
          <t>VÄSTRA GÖTALANDS LÄN</t>
        </is>
      </c>
      <c r="G18" t="inlineStr">
        <is>
          <t>TIBRO</t>
        </is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23080-2022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44715</v>
      </c>
      <c r="E19" s="1" t="n">
        <v>46322</v>
      </c>
      <c r="F19" t="inlineStr">
        <is>
          <t>VÄSTRA GÖTALANDS LÄN</t>
        </is>
      </c>
      <c r="G19" t="inlineStr">
        <is>
          <t>TIBRO</t>
        </is>
      </c>
      <c r="I19" t="n">
        <v>0.6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65112-2021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44515</v>
      </c>
      <c r="E20" s="1" t="n">
        <v>46322</v>
      </c>
      <c r="F20" t="inlineStr">
        <is>
          <t>VÄSTRA GÖTALANDS LÄN</t>
        </is>
      </c>
      <c r="G20" t="inlineStr">
        <is>
          <t>TIBRO</t>
        </is>
      </c>
      <c r="I20" t="n">
        <v>0.8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36404-2022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44804</v>
      </c>
      <c r="E21" s="1" t="n">
        <v>46322</v>
      </c>
      <c r="F21" t="inlineStr">
        <is>
          <t>VÄSTRA GÖTALANDS LÄN</t>
        </is>
      </c>
      <c r="G21" t="inlineStr">
        <is>
          <t>TIBRO</t>
        </is>
      </c>
      <c r="H21" t="inlineStr">
        <is>
          <t>Sveaskog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1882-2022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44574</v>
      </c>
      <c r="E22" s="1" t="n">
        <v>46322</v>
      </c>
      <c r="F22" t="inlineStr">
        <is>
          <t>VÄSTRA GÖTALANDS LÄN</t>
        </is>
      </c>
      <c r="G22" t="inlineStr">
        <is>
          <t>TIBRO</t>
        </is>
      </c>
      <c r="I22" t="n">
        <v>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46707-2022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44851</v>
      </c>
      <c r="E23" s="1" t="n">
        <v>46322</v>
      </c>
      <c r="F23" t="inlineStr">
        <is>
          <t>VÄSTRA GÖTALANDS LÄN</t>
        </is>
      </c>
      <c r="G23" t="inlineStr">
        <is>
          <t>TIBRO</t>
        </is>
      </c>
      <c r="I23" t="n">
        <v>0.6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495-2022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44566</v>
      </c>
      <c r="E24" s="1" t="n">
        <v>46322</v>
      </c>
      <c r="F24" t="inlineStr">
        <is>
          <t>VÄSTRA GÖTALANDS LÄN</t>
        </is>
      </c>
      <c r="G24" t="inlineStr">
        <is>
          <t>TIBRO</t>
        </is>
      </c>
      <c r="H24" t="inlineStr">
        <is>
          <t>Sveaskog</t>
        </is>
      </c>
      <c r="I24" t="n">
        <v>1.6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496-2022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44566</v>
      </c>
      <c r="E25" s="1" t="n">
        <v>46322</v>
      </c>
      <c r="F25" t="inlineStr">
        <is>
          <t>VÄSTRA GÖTALANDS LÄN</t>
        </is>
      </c>
      <c r="G25" t="inlineStr">
        <is>
          <t>TIBRO</t>
        </is>
      </c>
      <c r="H25" t="inlineStr">
        <is>
          <t>Sveaskog</t>
        </is>
      </c>
      <c r="I25" t="n">
        <v>3.3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65095-2021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44515</v>
      </c>
      <c r="E26" s="1" t="n">
        <v>46322</v>
      </c>
      <c r="F26" t="inlineStr">
        <is>
          <t>VÄSTRA GÖTALANDS LÄN</t>
        </is>
      </c>
      <c r="G26" t="inlineStr">
        <is>
          <t>TIBRO</t>
        </is>
      </c>
      <c r="I26" t="n">
        <v>1.2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61986-2021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44502</v>
      </c>
      <c r="E27" s="1" t="n">
        <v>46322</v>
      </c>
      <c r="F27" t="inlineStr">
        <is>
          <t>VÄSTRA GÖTALANDS LÄN</t>
        </is>
      </c>
      <c r="G27" t="inlineStr">
        <is>
          <t>TIBRO</t>
        </is>
      </c>
      <c r="H27" t="inlineStr">
        <is>
          <t>Kommuner</t>
        </is>
      </c>
      <c r="I27" t="n">
        <v>1.7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6872-2022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44602</v>
      </c>
      <c r="E28" s="1" t="n">
        <v>46322</v>
      </c>
      <c r="F28" t="inlineStr">
        <is>
          <t>VÄSTRA GÖTALANDS LÄN</t>
        </is>
      </c>
      <c r="G28" t="inlineStr">
        <is>
          <t>TIBRO</t>
        </is>
      </c>
      <c r="I28" t="n">
        <v>0.8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58633-2023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45251</v>
      </c>
      <c r="E29" s="1" t="n">
        <v>46322</v>
      </c>
      <c r="F29" t="inlineStr">
        <is>
          <t>VÄSTRA GÖTALANDS LÄN</t>
        </is>
      </c>
      <c r="G29" t="inlineStr">
        <is>
          <t>TIBRO</t>
        </is>
      </c>
      <c r="I29" t="n">
        <v>0.7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29728-2022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44755</v>
      </c>
      <c r="E30" s="1" t="n">
        <v>46322</v>
      </c>
      <c r="F30" t="inlineStr">
        <is>
          <t>VÄSTRA GÖTALANDS LÄN</t>
        </is>
      </c>
      <c r="G30" t="inlineStr">
        <is>
          <t>TIBRO</t>
        </is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60264-2024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45642</v>
      </c>
      <c r="E31" s="1" t="n">
        <v>46322</v>
      </c>
      <c r="F31" t="inlineStr">
        <is>
          <t>VÄSTRA GÖTALANDS LÄN</t>
        </is>
      </c>
      <c r="G31" t="inlineStr">
        <is>
          <t>TIBRO</t>
        </is>
      </c>
      <c r="I31" t="n">
        <v>4.9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22789-2022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44715</v>
      </c>
      <c r="E32" s="1" t="n">
        <v>46322</v>
      </c>
      <c r="F32" t="inlineStr">
        <is>
          <t>VÄSTRA GÖTALANDS LÄN</t>
        </is>
      </c>
      <c r="G32" t="inlineStr">
        <is>
          <t>TIBRO</t>
        </is>
      </c>
      <c r="I32" t="n">
        <v>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62220-2022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44922</v>
      </c>
      <c r="E33" s="1" t="n">
        <v>46322</v>
      </c>
      <c r="F33" t="inlineStr">
        <is>
          <t>VÄSTRA GÖTALANDS LÄN</t>
        </is>
      </c>
      <c r="G33" t="inlineStr">
        <is>
          <t>TIBRO</t>
        </is>
      </c>
      <c r="I33" t="n">
        <v>1.5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41130-2025</t>
        </is>
      </c>
      <c r="B34" t="inlineStr">
        <is>
          <t>avverkningsanmälan</t>
        </is>
      </c>
      <c r="C34" t="inlineStr">
        <is>
          <t>Avverkning för annat ändamål</t>
        </is>
      </c>
      <c r="D34" s="1" t="n">
        <v>45898</v>
      </c>
      <c r="E34" s="1" t="n">
        <v>46322</v>
      </c>
      <c r="F34" t="inlineStr">
        <is>
          <t>VÄSTRA GÖTALANDS LÄN</t>
        </is>
      </c>
      <c r="G34" t="inlineStr">
        <is>
          <t>TIBRO</t>
        </is>
      </c>
      <c r="I34" t="n">
        <v>2.3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29822-2023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45107</v>
      </c>
      <c r="E35" s="1" t="n">
        <v>46322</v>
      </c>
      <c r="F35" t="inlineStr">
        <is>
          <t>VÄSTRA GÖTALANDS LÄN</t>
        </is>
      </c>
      <c r="G35" t="inlineStr">
        <is>
          <t>TIBRO</t>
        </is>
      </c>
      <c r="I35" t="n">
        <v>1.5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45054-2023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45191</v>
      </c>
      <c r="E36" s="1" t="n">
        <v>46322</v>
      </c>
      <c r="F36" t="inlineStr">
        <is>
          <t>VÄSTRA GÖTALANDS LÄN</t>
        </is>
      </c>
      <c r="G36" t="inlineStr">
        <is>
          <t>TIBRO</t>
        </is>
      </c>
      <c r="I36" t="n">
        <v>0.5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48510-2024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45591</v>
      </c>
      <c r="E37" s="1" t="n">
        <v>46322</v>
      </c>
      <c r="F37" t="inlineStr">
        <is>
          <t>VÄSTRA GÖTALANDS LÄN</t>
        </is>
      </c>
      <c r="G37" t="inlineStr">
        <is>
          <t>TIBRO</t>
        </is>
      </c>
      <c r="I37" t="n">
        <v>0.5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54948-2024</t>
        </is>
      </c>
      <c r="B38" t="inlineStr">
        <is>
          <t>avverkningsanmälan</t>
        </is>
      </c>
      <c r="C38" t="inlineStr">
        <is>
          <t>Avverkning för annat ändamål</t>
        </is>
      </c>
      <c r="D38" s="1" t="n">
        <v>45619</v>
      </c>
      <c r="E38" s="1" t="n">
        <v>46322</v>
      </c>
      <c r="F38" t="inlineStr">
        <is>
          <t>VÄSTRA GÖTALANDS LÄN</t>
        </is>
      </c>
      <c r="G38" t="inlineStr">
        <is>
          <t>TIBRO</t>
        </is>
      </c>
      <c r="I38" t="n">
        <v>3.5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58150-2022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44900</v>
      </c>
      <c r="E39" s="1" t="n">
        <v>46322</v>
      </c>
      <c r="F39" t="inlineStr">
        <is>
          <t>VÄSTRA GÖTALANDS LÄN</t>
        </is>
      </c>
      <c r="G39" t="inlineStr">
        <is>
          <t>TIBRO</t>
        </is>
      </c>
      <c r="I39" t="n">
        <v>2.5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10115-2023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44986</v>
      </c>
      <c r="E40" s="1" t="n">
        <v>46322</v>
      </c>
      <c r="F40" t="inlineStr">
        <is>
          <t>VÄSTRA GÖTALANDS LÄN</t>
        </is>
      </c>
      <c r="G40" t="inlineStr">
        <is>
          <t>TIBRO</t>
        </is>
      </c>
      <c r="H40" t="inlineStr">
        <is>
          <t>Sveaskog</t>
        </is>
      </c>
      <c r="I40" t="n">
        <v>2.3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15684-2023</t>
        </is>
      </c>
      <c r="B41" t="inlineStr">
        <is>
          <t>avverkningsanmälan</t>
        </is>
      </c>
      <c r="C41" t="inlineStr">
        <is>
          <t>Avverkning för annat ändamål</t>
        </is>
      </c>
      <c r="D41" s="1" t="n">
        <v>45021</v>
      </c>
      <c r="E41" s="1" t="n">
        <v>46322</v>
      </c>
      <c r="F41" t="inlineStr">
        <is>
          <t>VÄSTRA GÖTALANDS LÄN</t>
        </is>
      </c>
      <c r="G41" t="inlineStr">
        <is>
          <t>TIBRO</t>
        </is>
      </c>
      <c r="I41" t="n">
        <v>4.4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9954-2025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45719</v>
      </c>
      <c r="E42" s="1" t="n">
        <v>46322</v>
      </c>
      <c r="F42" t="inlineStr">
        <is>
          <t>VÄSTRA GÖTALANDS LÄN</t>
        </is>
      </c>
      <c r="G42" t="inlineStr">
        <is>
          <t>TIBRO</t>
        </is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4241-2023</t>
        </is>
      </c>
      <c r="B43" t="inlineStr">
        <is>
          <t>avverkningsanmälan</t>
        </is>
      </c>
      <c r="C43" t="inlineStr">
        <is>
          <t>Avverkning för annat ändamål</t>
        </is>
      </c>
      <c r="D43" s="1" t="n">
        <v>44953</v>
      </c>
      <c r="E43" s="1" t="n">
        <v>46322</v>
      </c>
      <c r="F43" t="inlineStr">
        <is>
          <t>VÄSTRA GÖTALANDS LÄN</t>
        </is>
      </c>
      <c r="G43" t="inlineStr">
        <is>
          <t>TIBRO</t>
        </is>
      </c>
      <c r="I43" t="n">
        <v>2.9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4242-2023</t>
        </is>
      </c>
      <c r="B44" t="inlineStr">
        <is>
          <t>avverkningsanmälan</t>
        </is>
      </c>
      <c r="C44" t="inlineStr">
        <is>
          <t>Avverkning för annat ändamål</t>
        </is>
      </c>
      <c r="D44" s="1" t="n">
        <v>44953</v>
      </c>
      <c r="E44" s="1" t="n">
        <v>46322</v>
      </c>
      <c r="F44" t="inlineStr">
        <is>
          <t>VÄSTRA GÖTALANDS LÄN</t>
        </is>
      </c>
      <c r="G44" t="inlineStr">
        <is>
          <t>TIBRO</t>
        </is>
      </c>
      <c r="I44" t="n">
        <v>2.6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5564-2023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44960</v>
      </c>
      <c r="E45" s="1" t="n">
        <v>46322</v>
      </c>
      <c r="F45" t="inlineStr">
        <is>
          <t>VÄSTRA GÖTALANDS LÄN</t>
        </is>
      </c>
      <c r="G45" t="inlineStr">
        <is>
          <t>TIBRO</t>
        </is>
      </c>
      <c r="I45" t="n">
        <v>6.5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53179-2023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45229</v>
      </c>
      <c r="E46" s="1" t="n">
        <v>46322</v>
      </c>
      <c r="F46" t="inlineStr">
        <is>
          <t>VÄSTRA GÖTALANDS LÄN</t>
        </is>
      </c>
      <c r="G46" t="inlineStr">
        <is>
          <t>TIBRO</t>
        </is>
      </c>
      <c r="I46" t="n">
        <v>4.5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418-2023</t>
        </is>
      </c>
      <c r="B47" t="inlineStr">
        <is>
          <t>avverkningsanmälan</t>
        </is>
      </c>
      <c r="C47" t="inlineStr">
        <is>
          <t>Avverkning för annat ändamål</t>
        </is>
      </c>
      <c r="D47" s="1" t="n">
        <v>44929</v>
      </c>
      <c r="E47" s="1" t="n">
        <v>46322</v>
      </c>
      <c r="F47" t="inlineStr">
        <is>
          <t>VÄSTRA GÖTALANDS LÄN</t>
        </is>
      </c>
      <c r="G47" t="inlineStr">
        <is>
          <t>TIBRO</t>
        </is>
      </c>
      <c r="I47" t="n">
        <v>0.9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419-2023</t>
        </is>
      </c>
      <c r="B48" t="inlineStr">
        <is>
          <t>avverkningsanmälan</t>
        </is>
      </c>
      <c r="C48" t="inlineStr">
        <is>
          <t>Avverkning för annat ändamål</t>
        </is>
      </c>
      <c r="D48" s="1" t="n">
        <v>44929</v>
      </c>
      <c r="E48" s="1" t="n">
        <v>46322</v>
      </c>
      <c r="F48" t="inlineStr">
        <is>
          <t>VÄSTRA GÖTALANDS LÄN</t>
        </is>
      </c>
      <c r="G48" t="inlineStr">
        <is>
          <t>TIBRO</t>
        </is>
      </c>
      <c r="I48" t="n">
        <v>2.3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42016-2023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45177</v>
      </c>
      <c r="E49" s="1" t="n">
        <v>46322</v>
      </c>
      <c r="F49" t="inlineStr">
        <is>
          <t>VÄSTRA GÖTALANDS LÄN</t>
        </is>
      </c>
      <c r="G49" t="inlineStr">
        <is>
          <t>TIBRO</t>
        </is>
      </c>
      <c r="I49" t="n">
        <v>2.1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420-2023</t>
        </is>
      </c>
      <c r="B50" t="inlineStr">
        <is>
          <t>avverkningsanmälan</t>
        </is>
      </c>
      <c r="C50" t="inlineStr">
        <is>
          <t>Avverkning för annat ändamål</t>
        </is>
      </c>
      <c r="D50" s="1" t="n">
        <v>44929</v>
      </c>
      <c r="E50" s="1" t="n">
        <v>46322</v>
      </c>
      <c r="F50" t="inlineStr">
        <is>
          <t>VÄSTRA GÖTALANDS LÄN</t>
        </is>
      </c>
      <c r="G50" t="inlineStr">
        <is>
          <t>TIBRO</t>
        </is>
      </c>
      <c r="I50" t="n">
        <v>1.4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506-2023</t>
        </is>
      </c>
      <c r="B51" t="inlineStr">
        <is>
          <t>avverkningsanmälan</t>
        </is>
      </c>
      <c r="C51" t="inlineStr">
        <is>
          <t>Avverkning för annat ändamål</t>
        </is>
      </c>
      <c r="D51" s="1" t="n">
        <v>44930</v>
      </c>
      <c r="E51" s="1" t="n">
        <v>46322</v>
      </c>
      <c r="F51" t="inlineStr">
        <is>
          <t>VÄSTRA GÖTALANDS LÄN</t>
        </is>
      </c>
      <c r="G51" t="inlineStr">
        <is>
          <t>TIBRO</t>
        </is>
      </c>
      <c r="I51" t="n">
        <v>1.7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53651-2025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45960</v>
      </c>
      <c r="E52" s="1" t="n">
        <v>46322</v>
      </c>
      <c r="F52" t="inlineStr">
        <is>
          <t>VÄSTRA GÖTALANDS LÄN</t>
        </is>
      </c>
      <c r="G52" t="inlineStr">
        <is>
          <t>TIBRO</t>
        </is>
      </c>
      <c r="I52" t="n">
        <v>4.4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36868-2022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44805</v>
      </c>
      <c r="E53" s="1" t="n">
        <v>46322</v>
      </c>
      <c r="F53" t="inlineStr">
        <is>
          <t>VÄSTRA GÖTALANDS LÄN</t>
        </is>
      </c>
      <c r="G53" t="inlineStr">
        <is>
          <t>TIBRO</t>
        </is>
      </c>
      <c r="I53" t="n">
        <v>1.6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3572-2025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45680</v>
      </c>
      <c r="E54" s="1" t="n">
        <v>46322</v>
      </c>
      <c r="F54" t="inlineStr">
        <is>
          <t>VÄSTRA GÖTALANDS LÄN</t>
        </is>
      </c>
      <c r="G54" t="inlineStr">
        <is>
          <t>TIBRO</t>
        </is>
      </c>
      <c r="I54" t="n">
        <v>1.5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54412-2024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45617</v>
      </c>
      <c r="E55" s="1" t="n">
        <v>46322</v>
      </c>
      <c r="F55" t="inlineStr">
        <is>
          <t>VÄSTRA GÖTALANDS LÄN</t>
        </is>
      </c>
      <c r="G55" t="inlineStr">
        <is>
          <t>TIBRO</t>
        </is>
      </c>
      <c r="I55" t="n">
        <v>1.9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1191-2025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45666</v>
      </c>
      <c r="E56" s="1" t="n">
        <v>46322</v>
      </c>
      <c r="F56" t="inlineStr">
        <is>
          <t>VÄSTRA GÖTALANDS LÄN</t>
        </is>
      </c>
      <c r="G56" t="inlineStr">
        <is>
          <t>TIBRO</t>
        </is>
      </c>
      <c r="I56" t="n">
        <v>2.1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22828-2025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45789</v>
      </c>
      <c r="E57" s="1" t="n">
        <v>46322</v>
      </c>
      <c r="F57" t="inlineStr">
        <is>
          <t>VÄSTRA GÖTALANDS LÄN</t>
        </is>
      </c>
      <c r="G57" t="inlineStr">
        <is>
          <t>TIBRO</t>
        </is>
      </c>
      <c r="I57" t="n">
        <v>0.6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45599-2024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45579</v>
      </c>
      <c r="E58" s="1" t="n">
        <v>46322</v>
      </c>
      <c r="F58" t="inlineStr">
        <is>
          <t>VÄSTRA GÖTALANDS LÄN</t>
        </is>
      </c>
      <c r="G58" t="inlineStr">
        <is>
          <t>TIBRO</t>
        </is>
      </c>
      <c r="I58" t="n">
        <v>6.8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8450-2025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45709</v>
      </c>
      <c r="E59" s="1" t="n">
        <v>46322</v>
      </c>
      <c r="F59" t="inlineStr">
        <is>
          <t>VÄSTRA GÖTALANDS LÄN</t>
        </is>
      </c>
      <c r="G59" t="inlineStr">
        <is>
          <t>TIBRO</t>
        </is>
      </c>
      <c r="I59" t="n">
        <v>1.4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27990-2026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46195</v>
      </c>
      <c r="E60" s="1" t="n">
        <v>46322</v>
      </c>
      <c r="F60" t="inlineStr">
        <is>
          <t>VÄSTRA GÖTALANDS LÄN</t>
        </is>
      </c>
      <c r="G60" t="inlineStr">
        <is>
          <t>TIBRO</t>
        </is>
      </c>
      <c r="I60" t="n">
        <v>2.6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10462-2025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45720</v>
      </c>
      <c r="E61" s="1" t="n">
        <v>46322</v>
      </c>
      <c r="F61" t="inlineStr">
        <is>
          <t>VÄSTRA GÖTALANDS LÄN</t>
        </is>
      </c>
      <c r="G61" t="inlineStr">
        <is>
          <t>TIBRO</t>
        </is>
      </c>
      <c r="I61" t="n">
        <v>2.4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62221-2022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44922</v>
      </c>
      <c r="E62" s="1" t="n">
        <v>46322</v>
      </c>
      <c r="F62" t="inlineStr">
        <is>
          <t>VÄSTRA GÖTALANDS LÄN</t>
        </is>
      </c>
      <c r="G62" t="inlineStr">
        <is>
          <t>TIBRO</t>
        </is>
      </c>
      <c r="I62" t="n">
        <v>3.1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61701-2025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46002</v>
      </c>
      <c r="E63" s="1" t="n">
        <v>46322</v>
      </c>
      <c r="F63" t="inlineStr">
        <is>
          <t>VÄSTRA GÖTALANDS LÄN</t>
        </is>
      </c>
      <c r="G63" t="inlineStr">
        <is>
          <t>TIBRO</t>
        </is>
      </c>
      <c r="I63" t="n">
        <v>4.8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14383-2024</t>
        </is>
      </c>
      <c r="B64" t="inlineStr">
        <is>
          <t>avverkningsanmälan</t>
        </is>
      </c>
      <c r="C64" t="inlineStr">
        <is>
          <t>Avverkning för annat ändamål</t>
        </is>
      </c>
      <c r="D64" s="1" t="n">
        <v>45394</v>
      </c>
      <c r="E64" s="1" t="n">
        <v>46322</v>
      </c>
      <c r="F64" t="inlineStr">
        <is>
          <t>VÄSTRA GÖTALANDS LÄN</t>
        </is>
      </c>
      <c r="G64" t="inlineStr">
        <is>
          <t>TIBRO</t>
        </is>
      </c>
      <c r="I64" t="n">
        <v>1.2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53160-2023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45229</v>
      </c>
      <c r="E65" s="1" t="n">
        <v>46322</v>
      </c>
      <c r="F65" t="inlineStr">
        <is>
          <t>VÄSTRA GÖTALANDS LÄN</t>
        </is>
      </c>
      <c r="G65" t="inlineStr">
        <is>
          <t>TIBRO</t>
        </is>
      </c>
      <c r="I65" t="n">
        <v>1.6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6355-2024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45338</v>
      </c>
      <c r="E66" s="1" t="n">
        <v>46322</v>
      </c>
      <c r="F66" t="inlineStr">
        <is>
          <t>VÄSTRA GÖTALANDS LÄN</t>
        </is>
      </c>
      <c r="G66" t="inlineStr">
        <is>
          <t>TIBRO</t>
        </is>
      </c>
      <c r="I66" t="n">
        <v>1.9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28703-2025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45820</v>
      </c>
      <c r="E67" s="1" t="n">
        <v>46322</v>
      </c>
      <c r="F67" t="inlineStr">
        <is>
          <t>VÄSTRA GÖTALANDS LÄN</t>
        </is>
      </c>
      <c r="G67" t="inlineStr">
        <is>
          <t>TIBRO</t>
        </is>
      </c>
      <c r="I67" t="n">
        <v>7.8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35055-2024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45527</v>
      </c>
      <c r="E68" s="1" t="n">
        <v>46322</v>
      </c>
      <c r="F68" t="inlineStr">
        <is>
          <t>VÄSTRA GÖTALANDS LÄN</t>
        </is>
      </c>
      <c r="G68" t="inlineStr">
        <is>
          <t>TIBRO</t>
        </is>
      </c>
      <c r="I68" t="n">
        <v>0.7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58365-2022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44901</v>
      </c>
      <c r="E69" s="1" t="n">
        <v>46322</v>
      </c>
      <c r="F69" t="inlineStr">
        <is>
          <t>VÄSTRA GÖTALANDS LÄN</t>
        </is>
      </c>
      <c r="G69" t="inlineStr">
        <is>
          <t>TIBRO</t>
        </is>
      </c>
      <c r="I69" t="n">
        <v>4.9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62219-2022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44922</v>
      </c>
      <c r="E70" s="1" t="n">
        <v>46322</v>
      </c>
      <c r="F70" t="inlineStr">
        <is>
          <t>VÄSTRA GÖTALANDS LÄN</t>
        </is>
      </c>
      <c r="G70" t="inlineStr">
        <is>
          <t>TIBRO</t>
        </is>
      </c>
      <c r="I70" t="n">
        <v>1.4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61975-2021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44502</v>
      </c>
      <c r="E71" s="1" t="n">
        <v>46322</v>
      </c>
      <c r="F71" t="inlineStr">
        <is>
          <t>VÄSTRA GÖTALANDS LÄN</t>
        </is>
      </c>
      <c r="G71" t="inlineStr">
        <is>
          <t>TIBRO</t>
        </is>
      </c>
      <c r="H71" t="inlineStr">
        <is>
          <t>Kommuner</t>
        </is>
      </c>
      <c r="I71" t="n">
        <v>4.2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47649-2023</t>
        </is>
      </c>
      <c r="B72" t="inlineStr">
        <is>
          <t>avverkningsanmälan</t>
        </is>
      </c>
      <c r="C72" t="inlineStr">
        <is>
          <t>Avverkning för annat ändamål</t>
        </is>
      </c>
      <c r="D72" s="1" t="n">
        <v>45203</v>
      </c>
      <c r="E72" s="1" t="n">
        <v>46322</v>
      </c>
      <c r="F72" t="inlineStr">
        <is>
          <t>VÄSTRA GÖTALANDS LÄN</t>
        </is>
      </c>
      <c r="G72" t="inlineStr">
        <is>
          <t>TIBRO</t>
        </is>
      </c>
      <c r="I72" t="n">
        <v>0.6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2761-2023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44944</v>
      </c>
      <c r="E73" s="1" t="n">
        <v>46322</v>
      </c>
      <c r="F73" t="inlineStr">
        <is>
          <t>VÄSTRA GÖTALANDS LÄN</t>
        </is>
      </c>
      <c r="G73" t="inlineStr">
        <is>
          <t>TIBRO</t>
        </is>
      </c>
      <c r="I73" t="n">
        <v>3.6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34530-2024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45525</v>
      </c>
      <c r="E74" s="1" t="n">
        <v>46322</v>
      </c>
      <c r="F74" t="inlineStr">
        <is>
          <t>VÄSTRA GÖTALANDS LÄN</t>
        </is>
      </c>
      <c r="G74" t="inlineStr">
        <is>
          <t>TIBRO</t>
        </is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8969-2023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44979</v>
      </c>
      <c r="E75" s="1" t="n">
        <v>46322</v>
      </c>
      <c r="F75" t="inlineStr">
        <is>
          <t>VÄSTRA GÖTALANDS LÄN</t>
        </is>
      </c>
      <c r="G75" t="inlineStr">
        <is>
          <t>TIBRO</t>
        </is>
      </c>
      <c r="I75" t="n">
        <v>0.6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15409-2024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45401</v>
      </c>
      <c r="E76" s="1" t="n">
        <v>46322</v>
      </c>
      <c r="F76" t="inlineStr">
        <is>
          <t>VÄSTRA GÖTALANDS LÄN</t>
        </is>
      </c>
      <c r="G76" t="inlineStr">
        <is>
          <t>TIBRO</t>
        </is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41931-2024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45561</v>
      </c>
      <c r="E77" s="1" t="n">
        <v>46322</v>
      </c>
      <c r="F77" t="inlineStr">
        <is>
          <t>VÄSTRA GÖTALANDS LÄN</t>
        </is>
      </c>
      <c r="G77" t="inlineStr">
        <is>
          <t>TIBRO</t>
        </is>
      </c>
      <c r="I77" t="n">
        <v>5.1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47903-2025</t>
        </is>
      </c>
      <c r="B78" t="inlineStr">
        <is>
          <t>avverkningsanmälan</t>
        </is>
      </c>
      <c r="C78" t="inlineStr">
        <is>
          <t>Avverkning för annat ändamål</t>
        </is>
      </c>
      <c r="D78" s="1" t="n">
        <v>45932</v>
      </c>
      <c r="E78" s="1" t="n">
        <v>46322</v>
      </c>
      <c r="F78" t="inlineStr">
        <is>
          <t>VÄSTRA GÖTALANDS LÄN</t>
        </is>
      </c>
      <c r="G78" t="inlineStr">
        <is>
          <t>TIBRO</t>
        </is>
      </c>
      <c r="I78" t="n">
        <v>1.6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10836-2023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44991</v>
      </c>
      <c r="E79" s="1" t="n">
        <v>46322</v>
      </c>
      <c r="F79" t="inlineStr">
        <is>
          <t>VÄSTRA GÖTALANDS LÄN</t>
        </is>
      </c>
      <c r="G79" t="inlineStr">
        <is>
          <t>TIBRO</t>
        </is>
      </c>
      <c r="I79" t="n">
        <v>2.6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10737-2023</t>
        </is>
      </c>
      <c r="B80" t="inlineStr">
        <is>
          <t>avverkningsanmälan</t>
        </is>
      </c>
      <c r="C80" t="inlineStr">
        <is>
          <t>Avverkning för annat ändamål</t>
        </is>
      </c>
      <c r="D80" s="1" t="n">
        <v>44984</v>
      </c>
      <c r="E80" s="1" t="n">
        <v>46322</v>
      </c>
      <c r="F80" t="inlineStr">
        <is>
          <t>VÄSTRA GÖTALANDS LÄN</t>
        </is>
      </c>
      <c r="G80" t="inlineStr">
        <is>
          <t>TIBRO</t>
        </is>
      </c>
      <c r="I80" t="n">
        <v>3.4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52631-2024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45610</v>
      </c>
      <c r="E81" s="1" t="n">
        <v>46322</v>
      </c>
      <c r="F81" t="inlineStr">
        <is>
          <t>VÄSTRA GÖTALANDS LÄN</t>
        </is>
      </c>
      <c r="G81" t="inlineStr">
        <is>
          <t>TIBRO</t>
        </is>
      </c>
      <c r="I81" t="n">
        <v>1.7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58101-2023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45249</v>
      </c>
      <c r="E82" s="1" t="n">
        <v>46322</v>
      </c>
      <c r="F82" t="inlineStr">
        <is>
          <t>VÄSTRA GÖTALANDS LÄN</t>
        </is>
      </c>
      <c r="G82" t="inlineStr">
        <is>
          <t>TIBRO</t>
        </is>
      </c>
      <c r="I82" t="n">
        <v>6.1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38203-2026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46281</v>
      </c>
      <c r="E83" s="1" t="n">
        <v>46322</v>
      </c>
      <c r="F83" t="inlineStr">
        <is>
          <t>VÄSTRA GÖTALANDS LÄN</t>
        </is>
      </c>
      <c r="G83" t="inlineStr">
        <is>
          <t>TIBRO</t>
        </is>
      </c>
      <c r="I83" t="n">
        <v>1.6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16618-2025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45754</v>
      </c>
      <c r="E84" s="1" t="n">
        <v>46322</v>
      </c>
      <c r="F84" t="inlineStr">
        <is>
          <t>VÄSTRA GÖTALANDS LÄN</t>
        </is>
      </c>
      <c r="G84" t="inlineStr">
        <is>
          <t>TIBRO</t>
        </is>
      </c>
      <c r="I84" t="n">
        <v>0.8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16586-2026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46112</v>
      </c>
      <c r="E85" s="1" t="n">
        <v>46322</v>
      </c>
      <c r="F85" t="inlineStr">
        <is>
          <t>VÄSTRA GÖTALANDS LÄN</t>
        </is>
      </c>
      <c r="G85" t="inlineStr">
        <is>
          <t>TIBRO</t>
        </is>
      </c>
      <c r="I85" t="n">
        <v>3.2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38196-2026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46281</v>
      </c>
      <c r="E86" s="1" t="n">
        <v>46322</v>
      </c>
      <c r="F86" t="inlineStr">
        <is>
          <t>VÄSTRA GÖTALANDS LÄN</t>
        </is>
      </c>
      <c r="G86" t="inlineStr">
        <is>
          <t>TIBRO</t>
        </is>
      </c>
      <c r="I86" t="n">
        <v>1.3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38202-2026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46281</v>
      </c>
      <c r="E87" s="1" t="n">
        <v>46322</v>
      </c>
      <c r="F87" t="inlineStr">
        <is>
          <t>VÄSTRA GÖTALANDS LÄN</t>
        </is>
      </c>
      <c r="G87" t="inlineStr">
        <is>
          <t>TIBRO</t>
        </is>
      </c>
      <c r="I87" t="n">
        <v>1.3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38205-2026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46281</v>
      </c>
      <c r="E88" s="1" t="n">
        <v>46322</v>
      </c>
      <c r="F88" t="inlineStr">
        <is>
          <t>VÄSTRA GÖTALANDS LÄN</t>
        </is>
      </c>
      <c r="G88" t="inlineStr">
        <is>
          <t>TIBRO</t>
        </is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53253-2023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45229</v>
      </c>
      <c r="E89" s="1" t="n">
        <v>46322</v>
      </c>
      <c r="F89" t="inlineStr">
        <is>
          <t>VÄSTRA GÖTALANDS LÄN</t>
        </is>
      </c>
      <c r="G89" t="inlineStr">
        <is>
          <t>TIBRO</t>
        </is>
      </c>
      <c r="I89" t="n">
        <v>0.5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18004-2026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46125</v>
      </c>
      <c r="E90" s="1" t="n">
        <v>46322</v>
      </c>
      <c r="F90" t="inlineStr">
        <is>
          <t>VÄSTRA GÖTALANDS LÄN</t>
        </is>
      </c>
      <c r="G90" t="inlineStr">
        <is>
          <t>TIBRO</t>
        </is>
      </c>
      <c r="I90" t="n">
        <v>0.6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39459-2023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45166</v>
      </c>
      <c r="E91" s="1" t="n">
        <v>46322</v>
      </c>
      <c r="F91" t="inlineStr">
        <is>
          <t>VÄSTRA GÖTALANDS LÄN</t>
        </is>
      </c>
      <c r="G91" t="inlineStr">
        <is>
          <t>TIBRO</t>
        </is>
      </c>
      <c r="I91" t="n">
        <v>1.7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38488-2026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46282</v>
      </c>
      <c r="E92" s="1" t="n">
        <v>46322</v>
      </c>
      <c r="F92" t="inlineStr">
        <is>
          <t>VÄSTRA GÖTALANDS LÄN</t>
        </is>
      </c>
      <c r="G92" t="inlineStr">
        <is>
          <t>TIBRO</t>
        </is>
      </c>
      <c r="I92" t="n">
        <v>2.3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25063-2025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45799</v>
      </c>
      <c r="E93" s="1" t="n">
        <v>46322</v>
      </c>
      <c r="F93" t="inlineStr">
        <is>
          <t>VÄSTRA GÖTALANDS LÄN</t>
        </is>
      </c>
      <c r="G93" t="inlineStr">
        <is>
          <t>TIBRO</t>
        </is>
      </c>
      <c r="I93" t="n">
        <v>1.5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16687-2025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45754</v>
      </c>
      <c r="E94" s="1" t="n">
        <v>46322</v>
      </c>
      <c r="F94" t="inlineStr">
        <is>
          <t>VÄSTRA GÖTALANDS LÄN</t>
        </is>
      </c>
      <c r="G94" t="inlineStr">
        <is>
          <t>TIBRO</t>
        </is>
      </c>
      <c r="I94" t="n">
        <v>1.9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22418-2025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45786</v>
      </c>
      <c r="E95" s="1" t="n">
        <v>46322</v>
      </c>
      <c r="F95" t="inlineStr">
        <is>
          <t>VÄSTRA GÖTALANDS LÄN</t>
        </is>
      </c>
      <c r="G95" t="inlineStr">
        <is>
          <t>TIBRO</t>
        </is>
      </c>
      <c r="H95" t="inlineStr">
        <is>
          <t>Kyrkan</t>
        </is>
      </c>
      <c r="I95" t="n">
        <v>0.7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55788-2023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45239</v>
      </c>
      <c r="E96" s="1" t="n">
        <v>46322</v>
      </c>
      <c r="F96" t="inlineStr">
        <is>
          <t>VÄSTRA GÖTALANDS LÄN</t>
        </is>
      </c>
      <c r="G96" t="inlineStr">
        <is>
          <t>TIBRO</t>
        </is>
      </c>
      <c r="I96" t="n">
        <v>2.2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38813-2026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46286</v>
      </c>
      <c r="E97" s="1" t="n">
        <v>46322</v>
      </c>
      <c r="F97" t="inlineStr">
        <is>
          <t>VÄSTRA GÖTALANDS LÄN</t>
        </is>
      </c>
      <c r="G97" t="inlineStr">
        <is>
          <t>TIBRO</t>
        </is>
      </c>
      <c r="I97" t="n">
        <v>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60259-2024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45642</v>
      </c>
      <c r="E98" s="1" t="n">
        <v>46322</v>
      </c>
      <c r="F98" t="inlineStr">
        <is>
          <t>VÄSTRA GÖTALANDS LÄN</t>
        </is>
      </c>
      <c r="G98" t="inlineStr">
        <is>
          <t>TIBRO</t>
        </is>
      </c>
      <c r="I98" t="n">
        <v>0.9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64438-2023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45280</v>
      </c>
      <c r="E99" s="1" t="n">
        <v>46322</v>
      </c>
      <c r="F99" t="inlineStr">
        <is>
          <t>VÄSTRA GÖTALANDS LÄN</t>
        </is>
      </c>
      <c r="G99" t="inlineStr">
        <is>
          <t>TIBRO</t>
        </is>
      </c>
      <c r="I99" t="n">
        <v>5.8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35048-2024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45527</v>
      </c>
      <c r="E100" s="1" t="n">
        <v>46322</v>
      </c>
      <c r="F100" t="inlineStr">
        <is>
          <t>VÄSTRA GÖTALANDS LÄN</t>
        </is>
      </c>
      <c r="G100" t="inlineStr">
        <is>
          <t>TIBRO</t>
        </is>
      </c>
      <c r="I100" t="n">
        <v>2.8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61133-2025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46000</v>
      </c>
      <c r="E101" s="1" t="n">
        <v>46322</v>
      </c>
      <c r="F101" t="inlineStr">
        <is>
          <t>VÄSTRA GÖTALANDS LÄN</t>
        </is>
      </c>
      <c r="G101" t="inlineStr">
        <is>
          <t>TIBRO</t>
        </is>
      </c>
      <c r="I101" t="n">
        <v>1.1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4316-2024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45324</v>
      </c>
      <c r="E102" s="1" t="n">
        <v>46322</v>
      </c>
      <c r="F102" t="inlineStr">
        <is>
          <t>VÄSTRA GÖTALANDS LÄN</t>
        </is>
      </c>
      <c r="G102" t="inlineStr">
        <is>
          <t>TIBRO</t>
        </is>
      </c>
      <c r="I102" t="n">
        <v>0.6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7179-2023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44965</v>
      </c>
      <c r="E103" s="1" t="n">
        <v>46322</v>
      </c>
      <c r="F103" t="inlineStr">
        <is>
          <t>VÄSTRA GÖTALANDS LÄN</t>
        </is>
      </c>
      <c r="G103" t="inlineStr">
        <is>
          <t>TIBRO</t>
        </is>
      </c>
      <c r="I103" t="n">
        <v>1.7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7310-2026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46058</v>
      </c>
      <c r="E104" s="1" t="n">
        <v>46322</v>
      </c>
      <c r="F104" t="inlineStr">
        <is>
          <t>VÄSTRA GÖTALANDS LÄN</t>
        </is>
      </c>
      <c r="G104" t="inlineStr">
        <is>
          <t>TIBRO</t>
        </is>
      </c>
      <c r="I104" t="n">
        <v>2.3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40671-2024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45558</v>
      </c>
      <c r="E105" s="1" t="n">
        <v>46322</v>
      </c>
      <c r="F105" t="inlineStr">
        <is>
          <t>VÄSTRA GÖTALANDS LÄN</t>
        </is>
      </c>
      <c r="G105" t="inlineStr">
        <is>
          <t>TIBRO</t>
        </is>
      </c>
      <c r="I105" t="n">
        <v>2.1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21403-2026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46146</v>
      </c>
      <c r="E106" s="1" t="n">
        <v>46322</v>
      </c>
      <c r="F106" t="inlineStr">
        <is>
          <t>VÄSTRA GÖTALANDS LÄN</t>
        </is>
      </c>
      <c r="G106" t="inlineStr">
        <is>
          <t>TIBRO</t>
        </is>
      </c>
      <c r="I106" t="n">
        <v>0.8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21738-2023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45063</v>
      </c>
      <c r="E107" s="1" t="n">
        <v>46322</v>
      </c>
      <c r="F107" t="inlineStr">
        <is>
          <t>VÄSTRA GÖTALANDS LÄN</t>
        </is>
      </c>
      <c r="G107" t="inlineStr">
        <is>
          <t>TIBRO</t>
        </is>
      </c>
      <c r="I107" t="n">
        <v>1.4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45669-2023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45194</v>
      </c>
      <c r="E108" s="1" t="n">
        <v>46322</v>
      </c>
      <c r="F108" t="inlineStr">
        <is>
          <t>VÄSTRA GÖTALANDS LÄN</t>
        </is>
      </c>
      <c r="G108" t="inlineStr">
        <is>
          <t>TIBRO</t>
        </is>
      </c>
      <c r="I108" t="n">
        <v>1.2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33522-2024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45519</v>
      </c>
      <c r="E109" s="1" t="n">
        <v>46322</v>
      </c>
      <c r="F109" t="inlineStr">
        <is>
          <t>VÄSTRA GÖTALANDS LÄN</t>
        </is>
      </c>
      <c r="G109" t="inlineStr">
        <is>
          <t>TIBRO</t>
        </is>
      </c>
      <c r="I109" t="n">
        <v>3.2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20430-2025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45775</v>
      </c>
      <c r="E110" s="1" t="n">
        <v>46322</v>
      </c>
      <c r="F110" t="inlineStr">
        <is>
          <t>VÄSTRA GÖTALANDS LÄN</t>
        </is>
      </c>
      <c r="G110" t="inlineStr">
        <is>
          <t>TIBRO</t>
        </is>
      </c>
      <c r="I110" t="n">
        <v>4.5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40535-2026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46295</v>
      </c>
      <c r="E111" s="1" t="n">
        <v>46322</v>
      </c>
      <c r="F111" t="inlineStr">
        <is>
          <t>VÄSTRA GÖTALANDS LÄN</t>
        </is>
      </c>
      <c r="G111" t="inlineStr">
        <is>
          <t>TIBRO</t>
        </is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45588-2022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44845</v>
      </c>
      <c r="E112" s="1" t="n">
        <v>46322</v>
      </c>
      <c r="F112" t="inlineStr">
        <is>
          <t>VÄSTRA GÖTALANDS LÄN</t>
        </is>
      </c>
      <c r="G112" t="inlineStr">
        <is>
          <t>TIBRO</t>
        </is>
      </c>
      <c r="I112" t="n">
        <v>1.9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54449-2025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45965</v>
      </c>
      <c r="E113" s="1" t="n">
        <v>46322</v>
      </c>
      <c r="F113" t="inlineStr">
        <is>
          <t>VÄSTRA GÖTALANDS LÄN</t>
        </is>
      </c>
      <c r="G113" t="inlineStr">
        <is>
          <t>TIBRO</t>
        </is>
      </c>
      <c r="I113" t="n">
        <v>2.6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17150-2023</t>
        </is>
      </c>
      <c r="B114" t="inlineStr">
        <is>
          <t>avverkningsanmälan</t>
        </is>
      </c>
      <c r="C114" t="inlineStr">
        <is>
          <t>Avverkning för annat ändamål</t>
        </is>
      </c>
      <c r="D114" s="1" t="n">
        <v>45034</v>
      </c>
      <c r="E114" s="1" t="n">
        <v>46322</v>
      </c>
      <c r="F114" t="inlineStr">
        <is>
          <t>VÄSTRA GÖTALANDS LÄN</t>
        </is>
      </c>
      <c r="G114" t="inlineStr">
        <is>
          <t>TIBRO</t>
        </is>
      </c>
      <c r="I114" t="n">
        <v>1.3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65114-2021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44515</v>
      </c>
      <c r="E115" s="1" t="n">
        <v>46322</v>
      </c>
      <c r="F115" t="inlineStr">
        <is>
          <t>VÄSTRA GÖTALANDS LÄN</t>
        </is>
      </c>
      <c r="G115" t="inlineStr">
        <is>
          <t>TIBRO</t>
        </is>
      </c>
      <c r="I115" t="n">
        <v>1.5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62223-2022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44922</v>
      </c>
      <c r="E116" s="1" t="n">
        <v>46322</v>
      </c>
      <c r="F116" t="inlineStr">
        <is>
          <t>VÄSTRA GÖTALANDS LÄN</t>
        </is>
      </c>
      <c r="G116" t="inlineStr">
        <is>
          <t>TIBRO</t>
        </is>
      </c>
      <c r="I116" t="n">
        <v>0.4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1878-2022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44574</v>
      </c>
      <c r="E117" s="1" t="n">
        <v>46322</v>
      </c>
      <c r="F117" t="inlineStr">
        <is>
          <t>VÄSTRA GÖTALANDS LÄN</t>
        </is>
      </c>
      <c r="G117" t="inlineStr">
        <is>
          <t>TIBRO</t>
        </is>
      </c>
      <c r="I117" t="n">
        <v>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41576-2026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46301</v>
      </c>
      <c r="E118" s="1" t="n">
        <v>46322</v>
      </c>
      <c r="F118" t="inlineStr">
        <is>
          <t>VÄSTRA GÖTALANDS LÄN</t>
        </is>
      </c>
      <c r="G118" t="inlineStr">
        <is>
          <t>TIBRO</t>
        </is>
      </c>
      <c r="I118" t="n">
        <v>1.5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41661-2026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46301</v>
      </c>
      <c r="E119" s="1" t="n">
        <v>46322</v>
      </c>
      <c r="F119" t="inlineStr">
        <is>
          <t>VÄSTRA GÖTALANDS LÄN</t>
        </is>
      </c>
      <c r="G119" t="inlineStr">
        <is>
          <t>TIBRO</t>
        </is>
      </c>
      <c r="I119" t="n">
        <v>2.9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41662-2026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46301</v>
      </c>
      <c r="E120" s="1" t="n">
        <v>46322</v>
      </c>
      <c r="F120" t="inlineStr">
        <is>
          <t>VÄSTRA GÖTALANDS LÄN</t>
        </is>
      </c>
      <c r="G120" t="inlineStr">
        <is>
          <t>TIBRO</t>
        </is>
      </c>
      <c r="I120" t="n">
        <v>2.9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59273-2023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45253</v>
      </c>
      <c r="E121" s="1" t="n">
        <v>46322</v>
      </c>
      <c r="F121" t="inlineStr">
        <is>
          <t>VÄSTRA GÖTALANDS LÄN</t>
        </is>
      </c>
      <c r="G121" t="inlineStr">
        <is>
          <t>TIBRO</t>
        </is>
      </c>
      <c r="I121" t="n">
        <v>0.7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45881-2024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45580</v>
      </c>
      <c r="E122" s="1" t="n">
        <v>46322</v>
      </c>
      <c r="F122" t="inlineStr">
        <is>
          <t>VÄSTRA GÖTALANDS LÄN</t>
        </is>
      </c>
      <c r="G122" t="inlineStr">
        <is>
          <t>TIBRO</t>
        </is>
      </c>
      <c r="I122" t="n">
        <v>1.9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17611-2025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45757</v>
      </c>
      <c r="E123" s="1" t="n">
        <v>46322</v>
      </c>
      <c r="F123" t="inlineStr">
        <is>
          <t>VÄSTRA GÖTALANDS LÄN</t>
        </is>
      </c>
      <c r="G123" t="inlineStr">
        <is>
          <t>TIBRO</t>
        </is>
      </c>
      <c r="I123" t="n">
        <v>2.7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19384-2023</t>
        </is>
      </c>
      <c r="B124" t="inlineStr">
        <is>
          <t>avverkningsanmälan</t>
        </is>
      </c>
      <c r="C124" t="inlineStr">
        <is>
          <t>Avverkning för annat ändamål</t>
        </is>
      </c>
      <c r="D124" s="1" t="n">
        <v>45049</v>
      </c>
      <c r="E124" s="1" t="n">
        <v>46322</v>
      </c>
      <c r="F124" t="inlineStr">
        <is>
          <t>VÄSTRA GÖTALANDS LÄN</t>
        </is>
      </c>
      <c r="G124" t="inlineStr">
        <is>
          <t>TIBRO</t>
        </is>
      </c>
      <c r="I124" t="n">
        <v>1.3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47650-2023</t>
        </is>
      </c>
      <c r="B125" t="inlineStr">
        <is>
          <t>avverkningsanmälan</t>
        </is>
      </c>
      <c r="C125" t="inlineStr">
        <is>
          <t>Avverkning för annat ändamål</t>
        </is>
      </c>
      <c r="D125" s="1" t="n">
        <v>45203</v>
      </c>
      <c r="E125" s="1" t="n">
        <v>46322</v>
      </c>
      <c r="F125" t="inlineStr">
        <is>
          <t>VÄSTRA GÖTALANDS LÄN</t>
        </is>
      </c>
      <c r="G125" t="inlineStr">
        <is>
          <t>TIBRO</t>
        </is>
      </c>
      <c r="I125" t="n">
        <v>0.3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37090-2026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46273</v>
      </c>
      <c r="E126" s="1" t="n">
        <v>46322</v>
      </c>
      <c r="F126" t="inlineStr">
        <is>
          <t>VÄSTRA GÖTALANDS LÄN</t>
        </is>
      </c>
      <c r="G126" t="inlineStr">
        <is>
          <t>TIBRO</t>
        </is>
      </c>
      <c r="I126" t="n">
        <v>4.8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44203-2026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46318</v>
      </c>
      <c r="E127" s="1" t="n">
        <v>46322</v>
      </c>
      <c r="F127" t="inlineStr">
        <is>
          <t>VÄSTRA GÖTALANDS LÄN</t>
        </is>
      </c>
      <c r="G127" t="inlineStr">
        <is>
          <t>TIBRO</t>
        </is>
      </c>
      <c r="I127" t="n">
        <v>0.8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S 3719-2023</t>
        </is>
      </c>
      <c r="B128" t="inlineStr">
        <is>
          <t>samrådsanmälan</t>
        </is>
      </c>
      <c r="C128" t="inlineStr">
        <is>
          <t>Annan skogsbruksåtgärd</t>
        </is>
      </c>
      <c r="D128" s="1" t="n">
        <v>45222</v>
      </c>
      <c r="E128" s="1" t="n">
        <v>46322</v>
      </c>
      <c r="F128" t="inlineStr">
        <is>
          <t>VÄSTRA GÖTALANDS LÄN</t>
        </is>
      </c>
      <c r="G128" t="inlineStr">
        <is>
          <t>TIBRO</t>
        </is>
      </c>
      <c r="I128" t="n">
        <v>0.4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>
      <c r="A129" t="inlineStr">
        <is>
          <t>S 3071-2022</t>
        </is>
      </c>
      <c r="B129" t="inlineStr">
        <is>
          <t>samrådsanmälan</t>
        </is>
      </c>
      <c r="C129" t="inlineStr">
        <is>
          <t>Annan skogsbruksåtgärd</t>
        </is>
      </c>
      <c r="D129" s="1" t="n">
        <v>44715</v>
      </c>
      <c r="E129" s="1" t="n">
        <v>46322</v>
      </c>
      <c r="F129" t="inlineStr">
        <is>
          <t>VÄSTRA GÖTALANDS LÄN</t>
        </is>
      </c>
      <c r="G129" t="inlineStr">
        <is>
          <t>TIBRO</t>
        </is>
      </c>
      <c r="I129" t="n">
        <v>0.7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2026-10-27T03:10:10Z</dcterms:created>
  <dcterms:modified xmlns:dcterms="http://purl.org/dc/terms/" xmlns:xsi="http://www.w3.org/2001/XMLSchema-instance" xsi:type="dcterms:W3CDTF">2026-10-27T03:10:10Z</dcterms:modified>
</cp:coreProperties>
</file>