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46225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46225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46225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46225</v>
      </c>
      <c r="F5" t="inlineStr">
        <is>
          <t>VÄSTRA GÖTALANDS LÄN</t>
        </is>
      </c>
      <c r="G5" t="inlineStr">
        <is>
          <t>TIBRO</t>
        </is>
      </c>
      <c r="I5" t="n">
        <v>0.3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4</v>
      </c>
      <c r="U5" t="n">
        <v>0</v>
      </c>
      <c r="V5" s="2" t="inlineStr">
        <is>
          <t>Knärot
Flagellkvastmossa</t>
        </is>
      </c>
      <c r="W5">
        <f>HYPERLINK("https://klasma.github.io/Logging_1472/artfynd/A 25330-2026 artfynd.xlsx", "A 25330-2026")</f>
        <v/>
      </c>
      <c r="X5">
        <f>HYPERLINK("https://klasma.github.io/Logging_1472/kartor/A 25330-2026 karta.png", "A 25330-2026")</f>
        <v/>
      </c>
      <c r="Y5">
        <f>HYPERLINK("https://klasma.github.io/Logging_1472/kartor_geotiff/A 25330-2026 georefererad karta.tif", "A 25330-2026")</f>
        <v/>
      </c>
      <c r="Z5">
        <f>HYPERLINK("https://klasma.github.io/Logging_1472/knärot/A 25330-2026 karta knärot.png", "A 25330-2026")</f>
        <v/>
      </c>
      <c r="AA5">
        <f>HYPERLINK("https://klasma.github.io/Logging_1472/klagomål/A 25330-2026 FSC-klagomål.docx", "A 25330-2026")</f>
        <v/>
      </c>
      <c r="AB5">
        <f>HYPERLINK("https://klasma.github.io/Logging_1472/klagomålsmail/A 25330-2026 FSC-klagomål mail.docx", "A 25330-2026")</f>
        <v/>
      </c>
      <c r="AC5">
        <f>HYPERLINK("https://klasma.github.io/Logging_1472/tillsyn/A 25330-2026 tillsynsbegäran.docx", "A 25330-2026")</f>
        <v/>
      </c>
      <c r="AD5">
        <f>HYPERLINK("https://klasma.github.io/Logging_1472/tillsynsmail/A 25330-2026 tillsynsbegäran mail.docx", "A 25330-2026")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46225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46225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46225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46225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46225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417-2023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44929</v>
      </c>
      <c r="E11" s="1" t="n">
        <v>46225</v>
      </c>
      <c r="F11" t="inlineStr">
        <is>
          <t>VÄSTRA GÖTALANDS LÄN</t>
        </is>
      </c>
      <c r="G11" t="inlineStr">
        <is>
          <t>TIBRO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417-2023 artfynd.xlsx", "A 417-2023")</f>
        <v/>
      </c>
      <c r="X11">
        <f>HYPERLINK("https://klasma.github.io/Logging_1472/kartor/A 417-2023 karta.png", "A 417-2023")</f>
        <v/>
      </c>
      <c r="Y11">
        <f>HYPERLINK("https://klasma.github.io/Logging_1472/kartor_geotiff/A 417-2023 georefererad karta.tif", "A 417-2023")</f>
        <v/>
      </c>
      <c r="AA11">
        <f>HYPERLINK("https://klasma.github.io/Logging_1472/klagomål/A 417-2023 FSC-klagomål.docx", "A 417-2023")</f>
        <v/>
      </c>
      <c r="AB11">
        <f>HYPERLINK("https://klasma.github.io/Logging_1472/klagomålsmail/A 417-2023 FSC-klagomål mail.docx", "A 417-2023")</f>
        <v/>
      </c>
      <c r="AC11">
        <f>HYPERLINK("https://klasma.github.io/Logging_1472/tillsyn/A 417-2023 tillsynsbegäran.docx", "A 417-2023")</f>
        <v/>
      </c>
      <c r="AD11">
        <f>HYPERLINK("https://klasma.github.io/Logging_1472/tillsynsmail/A 417-2023 tillsynsbegäran mail.docx", "A 417-2023")</f>
        <v/>
      </c>
      <c r="AE11">
        <f>HYPERLINK("https://klasma.github.io/Logging_1472/fåglar/A 417-2023 prioriterade fågelarter.docx", "A 417-2023")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46225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2763-2023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44944</v>
      </c>
      <c r="E13" s="1" t="n">
        <v>46225</v>
      </c>
      <c r="F13" t="inlineStr">
        <is>
          <t>VÄSTRA GÖTALANDS LÄN</t>
        </is>
      </c>
      <c r="G13" t="inlineStr">
        <is>
          <t>TIBRO</t>
        </is>
      </c>
      <c r="I13" t="n">
        <v>2.5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HYPERLINK("https://klasma.github.io/Logging_1472/artfynd/A 2763-2023 artfynd.xlsx", "A 2763-2023")</f>
        <v/>
      </c>
      <c r="X13">
        <f>HYPERLINK("https://klasma.github.io/Logging_1472/kartor/A 2763-2023 karta.png", "A 2763-2023")</f>
        <v/>
      </c>
      <c r="Y13">
        <f>HYPERLINK("https://klasma.github.io/Logging_1472/kartor_geotiff/A 2763-2023 georefererad karta.tif", "A 2763-2023")</f>
        <v/>
      </c>
      <c r="AA13">
        <f>HYPERLINK("https://klasma.github.io/Logging_1472/klagomål/A 2763-2023 FSC-klagomål.docx", "A 2763-2023")</f>
        <v/>
      </c>
      <c r="AB13">
        <f>HYPERLINK("https://klasma.github.io/Logging_1472/klagomålsmail/A 2763-2023 FSC-klagomål mail.docx", "A 2763-2023")</f>
        <v/>
      </c>
      <c r="AC13">
        <f>HYPERLINK("https://klasma.github.io/Logging_1472/tillsyn/A 2763-2023 tillsynsbegäran.docx", "A 2763-2023")</f>
        <v/>
      </c>
      <c r="AD13">
        <f>HYPERLINK("https://klasma.github.io/Logging_1472/tillsynsmail/A 2763-2023 tillsynsbegäran mail.docx", "A 2763-2023")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46225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46225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46225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46225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46225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46225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46225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46225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46225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46225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46225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46225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46225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46225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46225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46225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46225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42048-2021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44426</v>
      </c>
      <c r="E31" s="1" t="n">
        <v>46225</v>
      </c>
      <c r="F31" t="inlineStr">
        <is>
          <t>VÄSTRA GÖTALANDS LÄN</t>
        </is>
      </c>
      <c r="G31" t="inlineStr">
        <is>
          <t>TIBRO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65114-2021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46225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46225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45401</v>
      </c>
      <c r="E34" s="1" t="n">
        <v>46225</v>
      </c>
      <c r="F34" t="inlineStr">
        <is>
          <t>VÄSTRA GÖTALANDS LÄN</t>
        </is>
      </c>
      <c r="G34" t="inlineStr">
        <is>
          <t>TIBRO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58365-2022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44901</v>
      </c>
      <c r="E35" s="1" t="n">
        <v>46225</v>
      </c>
      <c r="F35" t="inlineStr">
        <is>
          <t>VÄSTRA GÖTALANDS LÄN</t>
        </is>
      </c>
      <c r="G35" t="inlineStr">
        <is>
          <t>TIBRO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45239</v>
      </c>
      <c r="E36" s="1" t="n">
        <v>46225</v>
      </c>
      <c r="F36" t="inlineStr">
        <is>
          <t>VÄSTRA GÖTALANDS LÄN</t>
        </is>
      </c>
      <c r="G36" t="inlineStr">
        <is>
          <t>TIBRO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2761-2023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44944</v>
      </c>
      <c r="E37" s="1" t="n">
        <v>46225</v>
      </c>
      <c r="F37" t="inlineStr">
        <is>
          <t>VÄSTRA GÖTALANDS LÄN</t>
        </is>
      </c>
      <c r="G37" t="inlineStr">
        <is>
          <t>TIBRO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44922</v>
      </c>
      <c r="E38" s="1" t="n">
        <v>46225</v>
      </c>
      <c r="F38" t="inlineStr">
        <is>
          <t>VÄSTRA GÖTALANDS LÄN</t>
        </is>
      </c>
      <c r="G38" t="inlineStr">
        <is>
          <t>TIBRO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28703-2025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45820</v>
      </c>
      <c r="E39" s="1" t="n">
        <v>46225</v>
      </c>
      <c r="F39" t="inlineStr">
        <is>
          <t>VÄSTRA GÖTALANDS LÄN</t>
        </is>
      </c>
      <c r="G39" t="inlineStr">
        <is>
          <t>TIBRO</t>
        </is>
      </c>
      <c r="I39" t="n">
        <v>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46225</v>
      </c>
      <c r="F40" t="inlineStr">
        <is>
          <t>VÄSTRA GÖTALANDS LÄN</t>
        </is>
      </c>
      <c r="G40" t="inlineStr">
        <is>
          <t>TIBRO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41130-2025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45898</v>
      </c>
      <c r="E41" s="1" t="n">
        <v>46225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46058</v>
      </c>
      <c r="E42" s="1" t="n">
        <v>46225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45525</v>
      </c>
      <c r="E43" s="1" t="n">
        <v>46225</v>
      </c>
      <c r="F43" t="inlineStr">
        <is>
          <t>VÄSTRA GÖTALANDS LÄN</t>
        </is>
      </c>
      <c r="G43" t="inlineStr">
        <is>
          <t>TIBRO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44929</v>
      </c>
      <c r="E44" s="1" t="n">
        <v>46225</v>
      </c>
      <c r="F44" t="inlineStr">
        <is>
          <t>VÄSTRA GÖTALANDS LÄN</t>
        </is>
      </c>
      <c r="G44" t="inlineStr">
        <is>
          <t>TIBRO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47903-2025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45932</v>
      </c>
      <c r="E45" s="1" t="n">
        <v>46225</v>
      </c>
      <c r="F45" t="inlineStr">
        <is>
          <t>VÄSTRA GÖTALANDS LÄN</t>
        </is>
      </c>
      <c r="G45" t="inlineStr">
        <is>
          <t>TIBRO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13616-2026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46225</v>
      </c>
      <c r="F46" t="inlineStr">
        <is>
          <t>VÄSTRA GÖTALANDS LÄN</t>
        </is>
      </c>
      <c r="G46" t="inlineStr">
        <is>
          <t>TIBRO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13618-2026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46225</v>
      </c>
      <c r="F47" t="inlineStr">
        <is>
          <t>VÄSTRA GÖTALANDS LÄN</t>
        </is>
      </c>
      <c r="G47" t="inlineStr">
        <is>
          <t>TIBRO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13617-2026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46225</v>
      </c>
      <c r="F48" t="inlineStr">
        <is>
          <t>VÄSTRA GÖTALANDS LÄN</t>
        </is>
      </c>
      <c r="G48" t="inlineStr">
        <is>
          <t>TIBRO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16586-2026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46112</v>
      </c>
      <c r="E49" s="1" t="n">
        <v>46225</v>
      </c>
      <c r="F49" t="inlineStr">
        <is>
          <t>VÄSTRA GÖTALANDS LÄN</t>
        </is>
      </c>
      <c r="G49" t="inlineStr">
        <is>
          <t>TIBRO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46225</v>
      </c>
      <c r="F50" t="inlineStr">
        <is>
          <t>VÄSTRA GÖTALANDS LÄN</t>
        </is>
      </c>
      <c r="G50" t="inlineStr">
        <is>
          <t>TIBRO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47649-2023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45203</v>
      </c>
      <c r="E51" s="1" t="n">
        <v>46225</v>
      </c>
      <c r="F51" t="inlineStr">
        <is>
          <t>VÄSTRA GÖTALANDS LÄN</t>
        </is>
      </c>
      <c r="G51" t="inlineStr">
        <is>
          <t>TIBRO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18004-2026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46225</v>
      </c>
      <c r="F52" t="inlineStr">
        <is>
          <t>VÄSTRA GÖTALANDS LÄN</t>
        </is>
      </c>
      <c r="G52" t="inlineStr">
        <is>
          <t>TIBRO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45519</v>
      </c>
      <c r="E53" s="1" t="n">
        <v>46225</v>
      </c>
      <c r="F53" t="inlineStr">
        <is>
          <t>VÄSTRA GÖTALANDS LÄN</t>
        </is>
      </c>
      <c r="G53" t="inlineStr">
        <is>
          <t>TIBRO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45063</v>
      </c>
      <c r="E54" s="1" t="n">
        <v>46225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44574</v>
      </c>
      <c r="E55" s="1" t="n">
        <v>46225</v>
      </c>
      <c r="F55" t="inlineStr">
        <is>
          <t>VÄSTRA GÖTALANDS LÄN</t>
        </is>
      </c>
      <c r="G55" t="inlineStr">
        <is>
          <t>TIBRO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40671-2024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46225</v>
      </c>
      <c r="F56" t="inlineStr">
        <is>
          <t>VÄSTRA GÖTALANDS LÄN</t>
        </is>
      </c>
      <c r="G56" t="inlineStr">
        <is>
          <t>TIBRO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46225</v>
      </c>
      <c r="F57" t="inlineStr">
        <is>
          <t>VÄSTRA GÖTALANDS LÄN</t>
        </is>
      </c>
      <c r="G57" t="inlineStr">
        <is>
          <t>TIBRO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61133-2025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46225</v>
      </c>
      <c r="F58" t="inlineStr">
        <is>
          <t>VÄSTRA GÖTALANDS LÄN</t>
        </is>
      </c>
      <c r="G58" t="inlineStr">
        <is>
          <t>TIBRO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46225</v>
      </c>
      <c r="F59" t="inlineStr">
        <is>
          <t>VÄSTRA GÖTALANDS LÄN</t>
        </is>
      </c>
      <c r="G59" t="inlineStr">
        <is>
          <t>TIBRO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64438-2023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46225</v>
      </c>
      <c r="F60" t="inlineStr">
        <is>
          <t>VÄSTRA GÖTALANDS LÄN</t>
        </is>
      </c>
      <c r="G60" t="inlineStr">
        <is>
          <t>TIBRO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45786</v>
      </c>
      <c r="E61" s="1" t="n">
        <v>46225</v>
      </c>
      <c r="F61" t="inlineStr">
        <is>
          <t>VÄSTRA GÖTALANDS LÄN</t>
        </is>
      </c>
      <c r="G61" t="inlineStr">
        <is>
          <t>TIBRO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45642</v>
      </c>
      <c r="E62" s="1" t="n">
        <v>46225</v>
      </c>
      <c r="F62" t="inlineStr">
        <is>
          <t>VÄSTRA GÖTALANDS LÄN</t>
        </is>
      </c>
      <c r="G62" t="inlineStr">
        <is>
          <t>TIBRO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46225</v>
      </c>
      <c r="F63" t="inlineStr">
        <is>
          <t>VÄSTRA GÖTALANDS LÄN</t>
        </is>
      </c>
      <c r="G63" t="inlineStr">
        <is>
          <t>TIBRO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62223-2022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44922</v>
      </c>
      <c r="E64" s="1" t="n">
        <v>46225</v>
      </c>
      <c r="F64" t="inlineStr">
        <is>
          <t>VÄSTRA GÖTALANDS LÄN</t>
        </is>
      </c>
      <c r="G64" t="inlineStr">
        <is>
          <t>TIBRO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46225</v>
      </c>
      <c r="F65" t="inlineStr">
        <is>
          <t>VÄSTRA GÖTALANDS LÄN</t>
        </is>
      </c>
      <c r="G65" t="inlineStr">
        <is>
          <t>TIBRO</t>
        </is>
      </c>
      <c r="H65" t="inlineStr">
        <is>
          <t>Sveaskog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45665-2021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44441</v>
      </c>
      <c r="E66" s="1" t="n">
        <v>46225</v>
      </c>
      <c r="F66" t="inlineStr">
        <is>
          <t>VÄSTRA GÖTALANDS LÄN</t>
        </is>
      </c>
      <c r="G66" t="inlineStr">
        <is>
          <t>TIBRO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21403-2026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46146</v>
      </c>
      <c r="E67" s="1" t="n">
        <v>46225</v>
      </c>
      <c r="F67" t="inlineStr">
        <is>
          <t>VÄSTRA GÖTALANDS LÄN</t>
        </is>
      </c>
      <c r="G67" t="inlineStr">
        <is>
          <t>TIBRO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44960</v>
      </c>
      <c r="E68" s="1" t="n">
        <v>46225</v>
      </c>
      <c r="F68" t="inlineStr">
        <is>
          <t>VÄSTRA GÖTALANDS LÄN</t>
        </is>
      </c>
      <c r="G68" t="inlineStr">
        <is>
          <t>TIBRO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17150-2023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45034</v>
      </c>
      <c r="E69" s="1" t="n">
        <v>46225</v>
      </c>
      <c r="F69" t="inlineStr">
        <is>
          <t>VÄSTRA GÖTALANDS LÄN</t>
        </is>
      </c>
      <c r="G69" t="inlineStr">
        <is>
          <t>TIBRO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27990-2026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46195</v>
      </c>
      <c r="E70" s="1" t="n">
        <v>46225</v>
      </c>
      <c r="F70" t="inlineStr">
        <is>
          <t>VÄSTRA GÖTALANDS LÄN</t>
        </is>
      </c>
      <c r="G70" t="inlineStr">
        <is>
          <t>TIBRO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44900</v>
      </c>
      <c r="E71" s="1" t="n">
        <v>46225</v>
      </c>
      <c r="F71" t="inlineStr">
        <is>
          <t>VÄSTRA GÖTALANDS LÄN</t>
        </is>
      </c>
      <c r="G71" t="inlineStr">
        <is>
          <t>TIBRO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46225</v>
      </c>
      <c r="F72" t="inlineStr">
        <is>
          <t>VÄSTRA GÖTALANDS LÄN</t>
        </is>
      </c>
      <c r="G72" t="inlineStr">
        <is>
          <t>TIBRO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46225</v>
      </c>
      <c r="F73" t="inlineStr">
        <is>
          <t>VÄSTRA GÖTALANDS LÄN</t>
        </is>
      </c>
      <c r="G73" t="inlineStr">
        <is>
          <t>TIBRO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45177</v>
      </c>
      <c r="E74" s="1" t="n">
        <v>46225</v>
      </c>
      <c r="F74" t="inlineStr">
        <is>
          <t>VÄSTRA GÖTALANDS LÄN</t>
        </is>
      </c>
      <c r="G74" t="inlineStr">
        <is>
          <t>TIBRO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44930</v>
      </c>
      <c r="E75" s="1" t="n">
        <v>46225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44929</v>
      </c>
      <c r="E76" s="1" t="n">
        <v>46225</v>
      </c>
      <c r="F76" t="inlineStr">
        <is>
          <t>VÄSTRA GÖTALANDS LÄN</t>
        </is>
      </c>
      <c r="G76" t="inlineStr">
        <is>
          <t>TIBRO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45965</v>
      </c>
      <c r="E77" s="1" t="n">
        <v>46225</v>
      </c>
      <c r="F77" t="inlineStr">
        <is>
          <t>VÄSTRA GÖTALANDS LÄN</t>
        </is>
      </c>
      <c r="G77" t="inlineStr">
        <is>
          <t>TIBRO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45719</v>
      </c>
      <c r="E78" s="1" t="n">
        <v>46225</v>
      </c>
      <c r="F78" t="inlineStr">
        <is>
          <t>VÄSTRA GÖTALANDS LÄN</t>
        </is>
      </c>
      <c r="G78" t="inlineStr">
        <is>
          <t>TIBRO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45249</v>
      </c>
      <c r="E79" s="1" t="n">
        <v>46225</v>
      </c>
      <c r="F79" t="inlineStr">
        <is>
          <t>VÄSTRA GÖTALANDS LÄN</t>
        </is>
      </c>
      <c r="G79" t="inlineStr">
        <is>
          <t>TIBRO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46225</v>
      </c>
      <c r="F80" t="inlineStr">
        <is>
          <t>VÄSTRA GÖTALANDS LÄN</t>
        </is>
      </c>
      <c r="G80" t="inlineStr">
        <is>
          <t>TIBRO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45754</v>
      </c>
      <c r="E81" s="1" t="n">
        <v>46225</v>
      </c>
      <c r="F81" t="inlineStr">
        <is>
          <t>VÄSTRA GÖTALANDS LÄN</t>
        </is>
      </c>
      <c r="G81" t="inlineStr">
        <is>
          <t>TIBRO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46225</v>
      </c>
      <c r="F82" t="inlineStr">
        <is>
          <t>VÄSTRA GÖTALANDS LÄN</t>
        </is>
      </c>
      <c r="G82" t="inlineStr">
        <is>
          <t>TIBRO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47650-2023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45203</v>
      </c>
      <c r="E83" s="1" t="n">
        <v>46225</v>
      </c>
      <c r="F83" t="inlineStr">
        <is>
          <t>VÄSTRA GÖTALANDS LÄN</t>
        </is>
      </c>
      <c r="G83" t="inlineStr">
        <is>
          <t>TIBRO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46225</v>
      </c>
      <c r="F84" t="inlineStr">
        <is>
          <t>VÄSTRA GÖTALANDS LÄN</t>
        </is>
      </c>
      <c r="G84" t="inlineStr">
        <is>
          <t>TIBRO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46225</v>
      </c>
      <c r="F85" t="inlineStr">
        <is>
          <t>VÄSTRA GÖTALANDS LÄN</t>
        </is>
      </c>
      <c r="G85" t="inlineStr">
        <is>
          <t>TIBRO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45580</v>
      </c>
      <c r="E86" s="1" t="n">
        <v>46225</v>
      </c>
      <c r="F86" t="inlineStr">
        <is>
          <t>VÄSTRA GÖTALANDS LÄN</t>
        </is>
      </c>
      <c r="G86" t="inlineStr">
        <is>
          <t>TIBRO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20813-2026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46225</v>
      </c>
      <c r="F87" t="inlineStr">
        <is>
          <t>VÄSTRA GÖTALANDS LÄN</t>
        </is>
      </c>
      <c r="G87" t="inlineStr">
        <is>
          <t>TIBRO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45527</v>
      </c>
      <c r="E88" s="1" t="n">
        <v>46225</v>
      </c>
      <c r="F88" t="inlineStr">
        <is>
          <t>VÄSTRA GÖTALANDS LÄN</t>
        </is>
      </c>
      <c r="G88" t="inlineStr">
        <is>
          <t>TIBRO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45338</v>
      </c>
      <c r="E89" s="1" t="n">
        <v>46225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44965</v>
      </c>
      <c r="E90" s="1" t="n">
        <v>46225</v>
      </c>
      <c r="F90" t="inlineStr">
        <is>
          <t>VÄSTRA GÖTALANDS LÄN</t>
        </is>
      </c>
      <c r="G90" t="inlineStr">
        <is>
          <t>TIBRO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46225</v>
      </c>
      <c r="F91" t="inlineStr">
        <is>
          <t>VÄSTRA GÖTALANDS LÄN</t>
        </is>
      </c>
      <c r="G91" t="inlineStr">
        <is>
          <t>TIBRO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44502</v>
      </c>
      <c r="E92" s="1" t="n">
        <v>46225</v>
      </c>
      <c r="F92" t="inlineStr">
        <is>
          <t>VÄSTRA GÖTALANDS LÄN</t>
        </is>
      </c>
      <c r="G92" t="inlineStr">
        <is>
          <t>TIBRO</t>
        </is>
      </c>
      <c r="H92" t="inlineStr">
        <is>
          <t>Kommuner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46225</v>
      </c>
      <c r="F93" t="inlineStr">
        <is>
          <t>VÄSTRA GÖTALANDS LÄN</t>
        </is>
      </c>
      <c r="G93" t="inlineStr">
        <is>
          <t>TIBRO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15684-2023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45021</v>
      </c>
      <c r="E94" s="1" t="n">
        <v>46225</v>
      </c>
      <c r="F94" t="inlineStr">
        <is>
          <t>VÄSTRA GÖTALANDS LÄN</t>
        </is>
      </c>
      <c r="G94" t="inlineStr">
        <is>
          <t>TIBRO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45669-2023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45194</v>
      </c>
      <c r="E95" s="1" t="n">
        <v>46225</v>
      </c>
      <c r="F95" t="inlineStr">
        <is>
          <t>VÄSTRA GÖTALANDS LÄN</t>
        </is>
      </c>
      <c r="G95" t="inlineStr">
        <is>
          <t>TIBRO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54948-2024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45619</v>
      </c>
      <c r="E96" s="1" t="n">
        <v>46225</v>
      </c>
      <c r="F96" t="inlineStr">
        <is>
          <t>VÄSTRA GÖTALANDS LÄN</t>
        </is>
      </c>
      <c r="G96" t="inlineStr">
        <is>
          <t>TIBRO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45775</v>
      </c>
      <c r="E97" s="1" t="n">
        <v>46225</v>
      </c>
      <c r="F97" t="inlineStr">
        <is>
          <t>VÄSTRA GÖTALANDS LÄN</t>
        </is>
      </c>
      <c r="G97" t="inlineStr">
        <is>
          <t>TIBRO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46225</v>
      </c>
      <c r="F98" t="inlineStr">
        <is>
          <t>VÄSTRA GÖTALANDS LÄN</t>
        </is>
      </c>
      <c r="G98" t="inlineStr">
        <is>
          <t>TIBRO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39459-2023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46225</v>
      </c>
      <c r="F99" t="inlineStr">
        <is>
          <t>VÄSTRA GÖTALANDS LÄN</t>
        </is>
      </c>
      <c r="G99" t="inlineStr">
        <is>
          <t>TIBRO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44805</v>
      </c>
      <c r="E100" s="1" t="n">
        <v>46225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44953</v>
      </c>
      <c r="E101" s="1" t="n">
        <v>46225</v>
      </c>
      <c r="F101" t="inlineStr">
        <is>
          <t>VÄSTRA GÖTALANDS LÄN</t>
        </is>
      </c>
      <c r="G101" t="inlineStr">
        <is>
          <t>TIBRO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44953</v>
      </c>
      <c r="E102" s="1" t="n">
        <v>46225</v>
      </c>
      <c r="F102" t="inlineStr">
        <is>
          <t>VÄSTRA GÖTALANDS LÄN</t>
        </is>
      </c>
      <c r="G102" t="inlineStr">
        <is>
          <t>TIBRO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45191</v>
      </c>
      <c r="E103" s="1" t="n">
        <v>46225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29728-2022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44755</v>
      </c>
      <c r="E104" s="1" t="n">
        <v>46225</v>
      </c>
      <c r="F104" t="inlineStr">
        <is>
          <t>VÄSTRA GÖTALANDS LÄN</t>
        </is>
      </c>
      <c r="G104" t="inlineStr">
        <is>
          <t>TIBRO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46225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46225</v>
      </c>
      <c r="F106" t="inlineStr">
        <is>
          <t>VÄSTRA GÖTALANDS LÄN</t>
        </is>
      </c>
      <c r="G106" t="inlineStr">
        <is>
          <t>TIBRO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46225</v>
      </c>
      <c r="F107" t="inlineStr">
        <is>
          <t>VÄSTRA GÖTALANDS LÄN</t>
        </is>
      </c>
      <c r="G107" t="inlineStr">
        <is>
          <t>TIBRO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62221-2022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46225</v>
      </c>
      <c r="F108" t="inlineStr">
        <is>
          <t>VÄSTRA GÖTALANDS LÄN</t>
        </is>
      </c>
      <c r="G108" t="inlineStr">
        <is>
          <t>TIBRO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45049</v>
      </c>
      <c r="E109" s="1" t="n">
        <v>46225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44922</v>
      </c>
      <c r="E110" s="1" t="n">
        <v>46225</v>
      </c>
      <c r="F110" t="inlineStr">
        <is>
          <t>VÄSTRA GÖTALANDS LÄN</t>
        </is>
      </c>
      <c r="G110" t="inlineStr">
        <is>
          <t>TIBRO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44929</v>
      </c>
      <c r="E111" s="1" t="n">
        <v>46225</v>
      </c>
      <c r="F111" t="inlineStr">
        <is>
          <t>VÄSTRA GÖTALANDS LÄN</t>
        </is>
      </c>
      <c r="G111" t="inlineStr">
        <is>
          <t>TIBRO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46225</v>
      </c>
      <c r="F112" t="inlineStr">
        <is>
          <t>VÄSTRA GÖTALANDS LÄN</t>
        </is>
      </c>
      <c r="G112" t="inlineStr">
        <is>
          <t>TIBRO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14383-2024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45394</v>
      </c>
      <c r="E113" s="1" t="n">
        <v>46225</v>
      </c>
      <c r="F113" t="inlineStr">
        <is>
          <t>VÄSTRA GÖTALANDS LÄN</t>
        </is>
      </c>
      <c r="G113" t="inlineStr">
        <is>
          <t>TIBRO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46225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44984</v>
      </c>
      <c r="E115" s="1" t="n">
        <v>46225</v>
      </c>
      <c r="F115" t="inlineStr">
        <is>
          <t>VÄSTRA GÖTALANDS LÄN</t>
        </is>
      </c>
      <c r="G115" t="inlineStr">
        <is>
          <t>TIBRO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44845</v>
      </c>
      <c r="E116" s="1" t="n">
        <v>46225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45251</v>
      </c>
      <c r="E117" s="1" t="n">
        <v>46225</v>
      </c>
      <c r="F117" t="inlineStr">
        <is>
          <t>VÄSTRA GÖTALANDS LÄN</t>
        </is>
      </c>
      <c r="G117" t="inlineStr">
        <is>
          <t>TIBRO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46225</v>
      </c>
      <c r="F118" t="inlineStr">
        <is>
          <t>VÄSTRA GÖTALANDS LÄN</t>
        </is>
      </c>
      <c r="G118" t="inlineStr">
        <is>
          <t>TIBRO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46225</v>
      </c>
      <c r="F119" t="inlineStr">
        <is>
          <t>VÄSTRA GÖTALANDS LÄN</t>
        </is>
      </c>
      <c r="G119" t="inlineStr">
        <is>
          <t>TIBRO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46225</v>
      </c>
      <c r="F120" t="inlineStr">
        <is>
          <t>VÄSTRA GÖTALANDS LÄN</t>
        </is>
      </c>
      <c r="G120" t="inlineStr">
        <is>
          <t>TIBRO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45680</v>
      </c>
      <c r="E121" s="1" t="n">
        <v>46225</v>
      </c>
      <c r="F121" t="inlineStr">
        <is>
          <t>VÄSTRA GÖTALANDS LÄN</t>
        </is>
      </c>
      <c r="G121" t="inlineStr">
        <is>
          <t>TIBRO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46225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46225</v>
      </c>
      <c r="F123" t="inlineStr">
        <is>
          <t>VÄSTRA GÖTALANDS LÄN</t>
        </is>
      </c>
      <c r="G123" t="inlineStr">
        <is>
          <t>TIBRO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46225</v>
      </c>
      <c r="F124" t="inlineStr">
        <is>
          <t>VÄSTRA GÖTALANDS LÄN</t>
        </is>
      </c>
      <c r="G124" t="inlineStr">
        <is>
          <t>TIBRO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46225</v>
      </c>
      <c r="F125" t="inlineStr">
        <is>
          <t>VÄSTRA GÖTALANDS LÄN</t>
        </is>
      </c>
      <c r="G125" t="inlineStr">
        <is>
          <t>TIBRO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45720</v>
      </c>
      <c r="E126" s="1" t="n">
        <v>46225</v>
      </c>
      <c r="F126" t="inlineStr">
        <is>
          <t>VÄSTRA GÖTALANDS LÄN</t>
        </is>
      </c>
      <c r="G126" t="inlineStr">
        <is>
          <t>TIBRO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3071-2022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44715</v>
      </c>
      <c r="E127" s="1" t="n">
        <v>46225</v>
      </c>
      <c r="F127" t="inlineStr">
        <is>
          <t>VÄSTRA GÖTALANDS LÄN</t>
        </is>
      </c>
      <c r="G127" t="inlineStr">
        <is>
          <t>TIBRO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>
      <c r="A128" t="inlineStr">
        <is>
          <t>S 3719-2023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45222</v>
      </c>
      <c r="E128" s="1" t="n">
        <v>46225</v>
      </c>
      <c r="F128" t="inlineStr">
        <is>
          <t>VÄSTRA GÖTALANDS LÄN</t>
        </is>
      </c>
      <c r="G128" t="inlineStr">
        <is>
          <t>TIBRO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2026-07-22T01:36:28Z</dcterms:created>
  <dcterms:modified xmlns:dcterms="http://purl.org/dc/terms/" xmlns:xsi="http://www.w3.org/2001/XMLSchema-instance" xsi:type="dcterms:W3CDTF">2026-07-22T01:36:28Z</dcterms:modified>
</cp:coreProperties>
</file>