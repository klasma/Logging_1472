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46252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46252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46252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46252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46252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46252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417-2023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44929</v>
      </c>
      <c r="E10" s="1" t="n">
        <v>46252</v>
      </c>
      <c r="F10" t="inlineStr">
        <is>
          <t>VÄSTRA GÖTALANDS LÄN</t>
        </is>
      </c>
      <c r="G10" t="inlineStr">
        <is>
          <t>TIBRO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417-2023 artfynd.xlsx", "A 417-2023")</f>
        <v/>
      </c>
      <c r="X10">
        <f>HYPERLINK("https://klasma.github.io/Logging_1472/kartor/A 417-2023 karta.png", "A 417-2023")</f>
        <v/>
      </c>
      <c r="Y10">
        <f>HYPERLINK("https://klasma.github.io/Logging_1472/kartor_geotiff/A 417-2023 georefererad karta.tif", "A 417-2023")</f>
        <v/>
      </c>
      <c r="AA10">
        <f>HYPERLINK("https://klasma.github.io/Logging_1472/klagomål/A 417-2023 FSC-klagomål.docx", "A 417-2023")</f>
        <v/>
      </c>
      <c r="AB10">
        <f>HYPERLINK("https://klasma.github.io/Logging_1472/klagomålsmail/A 417-2023 FSC-klagomål mail.docx", "A 417-2023")</f>
        <v/>
      </c>
      <c r="AC10">
        <f>HYPERLINK("https://klasma.github.io/Logging_1472/tillsyn/A 417-2023 tillsynsbegäran.docx", "A 417-2023")</f>
        <v/>
      </c>
      <c r="AD10">
        <f>HYPERLINK("https://klasma.github.io/Logging_1472/tillsynsmail/A 417-2023 tillsynsbegäran mail.docx", "A 417-2023")</f>
        <v/>
      </c>
      <c r="AE10">
        <f>HYPERLINK("https://klasma.github.io/Logging_1472/fåglar/A 417-2023 prioriterade fågelarter.docx", "A 417-2023")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46252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56101-2025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46252</v>
      </c>
      <c r="F12" t="inlineStr">
        <is>
          <t>VÄSTRA GÖTALANDS LÄN</t>
        </is>
      </c>
      <c r="G12" t="inlineStr">
        <is>
          <t>TIBRO</t>
        </is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Hasselticka</t>
        </is>
      </c>
      <c r="W12">
        <f>HYPERLINK("https://klasma.github.io/Logging_1472/artfynd/A 56101-2025 artfynd.xlsx", "A 56101-2025")</f>
        <v/>
      </c>
      <c r="X12">
        <f>HYPERLINK("https://klasma.github.io/Logging_1472/kartor/A 56101-2025 karta.png", "A 56101-2025")</f>
        <v/>
      </c>
      <c r="Y12">
        <f>HYPERLINK("https://klasma.github.io/Logging_1472/kartor_geotiff/A 56101-2025 georefererad karta.tif", "A 56101-2025")</f>
        <v/>
      </c>
      <c r="AA12">
        <f>HYPERLINK("https://klasma.github.io/Logging_1472/klagomål/A 56101-2025 FSC-klagomål.docx", "A 56101-2025")</f>
        <v/>
      </c>
      <c r="AB12">
        <f>HYPERLINK("https://klasma.github.io/Logging_1472/klagomålsmail/A 56101-2025 FSC-klagomål mail.docx", "A 56101-2025")</f>
        <v/>
      </c>
      <c r="AC12">
        <f>HYPERLINK("https://klasma.github.io/Logging_1472/tillsyn/A 56101-2025 tillsynsbegäran.docx", "A 56101-2025")</f>
        <v/>
      </c>
      <c r="AD12">
        <f>HYPERLINK("https://klasma.github.io/Logging_1472/tillsynsmail/A 56101-2025 tillsynsbegäran mail.docx", "A 56101-2025")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46252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46252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46252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46252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46252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46252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46252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46252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46252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46252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46252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46252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46252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46252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46252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46252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46252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46252</v>
      </c>
      <c r="F30" t="inlineStr">
        <is>
          <t>VÄSTRA GÖTALANDS LÄN</t>
        </is>
      </c>
      <c r="G30" t="inlineStr">
        <is>
          <t>TIBRO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61986-2021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44502</v>
      </c>
      <c r="E31" s="1" t="n">
        <v>46252</v>
      </c>
      <c r="F31" t="inlineStr">
        <is>
          <t>VÄSTRA GÖTALANDS LÄN</t>
        </is>
      </c>
      <c r="G31" t="inlineStr">
        <is>
          <t>TIBRO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28703-2025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45820</v>
      </c>
      <c r="E32" s="1" t="n">
        <v>46252</v>
      </c>
      <c r="F32" t="inlineStr">
        <is>
          <t>VÄSTRA GÖTALANDS LÄN</t>
        </is>
      </c>
      <c r="G32" t="inlineStr">
        <is>
          <t>TIBRO</t>
        </is>
      </c>
      <c r="I32" t="n">
        <v>7.8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44441</v>
      </c>
      <c r="E33" s="1" t="n">
        <v>46252</v>
      </c>
      <c r="F33" t="inlineStr">
        <is>
          <t>VÄSTRA GÖTALANDS LÄN</t>
        </is>
      </c>
      <c r="G33" t="inlineStr">
        <is>
          <t>TIBRO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46252</v>
      </c>
      <c r="F34" t="inlineStr">
        <is>
          <t>VÄSTRA GÖTALANDS LÄN</t>
        </is>
      </c>
      <c r="G34" t="inlineStr">
        <is>
          <t>TIBRO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46252</v>
      </c>
      <c r="F35" t="inlineStr">
        <is>
          <t>VÄSTRA GÖTALANDS LÄN</t>
        </is>
      </c>
      <c r="G35" t="inlineStr">
        <is>
          <t>TIBRO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46252</v>
      </c>
      <c r="F36" t="inlineStr">
        <is>
          <t>VÄSTRA GÖTALANDS LÄN</t>
        </is>
      </c>
      <c r="G36" t="inlineStr">
        <is>
          <t>TIBRO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10737-2023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44984</v>
      </c>
      <c r="E37" s="1" t="n">
        <v>46252</v>
      </c>
      <c r="F37" t="inlineStr">
        <is>
          <t>VÄSTRA GÖTALANDS LÄN</t>
        </is>
      </c>
      <c r="G37" t="inlineStr">
        <is>
          <t>TIBRO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45610</v>
      </c>
      <c r="E38" s="1" t="n">
        <v>46252</v>
      </c>
      <c r="F38" t="inlineStr">
        <is>
          <t>VÄSTRA GÖTALANDS LÄN</t>
        </is>
      </c>
      <c r="G38" t="inlineStr">
        <is>
          <t>TIBRO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44715</v>
      </c>
      <c r="E39" s="1" t="n">
        <v>46252</v>
      </c>
      <c r="F39" t="inlineStr">
        <is>
          <t>VÄSTRA GÖTALANDS LÄN</t>
        </is>
      </c>
      <c r="G39" t="inlineStr">
        <is>
          <t>TIBRO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44922</v>
      </c>
      <c r="E40" s="1" t="n">
        <v>46252</v>
      </c>
      <c r="F40" t="inlineStr">
        <is>
          <t>VÄSTRA GÖTALANDS LÄN</t>
        </is>
      </c>
      <c r="G40" t="inlineStr">
        <is>
          <t>TIBRO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46252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29822-2023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46252</v>
      </c>
      <c r="F42" t="inlineStr">
        <is>
          <t>VÄSTRA GÖTALANDS LÄN</t>
        </is>
      </c>
      <c r="G42" t="inlineStr">
        <is>
          <t>TIBRO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45249</v>
      </c>
      <c r="E43" s="1" t="n">
        <v>46252</v>
      </c>
      <c r="F43" t="inlineStr">
        <is>
          <t>VÄSTRA GÖTALANDS LÄN</t>
        </is>
      </c>
      <c r="G43" t="inlineStr">
        <is>
          <t>TIBRO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45054-2023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46252</v>
      </c>
      <c r="F44" t="inlineStr">
        <is>
          <t>VÄSTRA GÖTALANDS LÄN</t>
        </is>
      </c>
      <c r="G44" t="inlineStr">
        <is>
          <t>TIBRO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46252</v>
      </c>
      <c r="F45" t="inlineStr">
        <is>
          <t>VÄSTRA GÖTALANDS LÄN</t>
        </is>
      </c>
      <c r="G45" t="inlineStr">
        <is>
          <t>TIBRO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46252</v>
      </c>
      <c r="F46" t="inlineStr">
        <is>
          <t>VÄSTRA GÖTALANDS LÄN</t>
        </is>
      </c>
      <c r="G46" t="inlineStr">
        <is>
          <t>TIBRO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46252</v>
      </c>
      <c r="F47" t="inlineStr">
        <is>
          <t>VÄSTRA GÖTALANDS LÄN</t>
        </is>
      </c>
      <c r="G47" t="inlineStr">
        <is>
          <t>TIBRO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15684-2023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45021</v>
      </c>
      <c r="E48" s="1" t="n">
        <v>46252</v>
      </c>
      <c r="F48" t="inlineStr">
        <is>
          <t>VÄSTRA GÖTALANDS LÄN</t>
        </is>
      </c>
      <c r="G48" t="inlineStr">
        <is>
          <t>TIBRO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46252</v>
      </c>
      <c r="F49" t="inlineStr">
        <is>
          <t>VÄSTRA GÖTALANDS LÄN</t>
        </is>
      </c>
      <c r="G49" t="inlineStr">
        <is>
          <t>TIBRO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46252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47903-2025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45932</v>
      </c>
      <c r="E51" s="1" t="n">
        <v>46252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46252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46252</v>
      </c>
      <c r="F53" t="inlineStr">
        <is>
          <t>VÄSTRA GÖTALANDS LÄN</t>
        </is>
      </c>
      <c r="G53" t="inlineStr">
        <is>
          <t>TIBRO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44929</v>
      </c>
      <c r="E54" s="1" t="n">
        <v>46252</v>
      </c>
      <c r="F54" t="inlineStr">
        <is>
          <t>VÄSTRA GÖTALANDS LÄN</t>
        </is>
      </c>
      <c r="G54" t="inlineStr">
        <is>
          <t>TIBRO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44929</v>
      </c>
      <c r="E55" s="1" t="n">
        <v>46252</v>
      </c>
      <c r="F55" t="inlineStr">
        <is>
          <t>VÄSTRA GÖTALANDS LÄN</t>
        </is>
      </c>
      <c r="G55" t="inlineStr">
        <is>
          <t>TIBRO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45239</v>
      </c>
      <c r="E56" s="1" t="n">
        <v>46252</v>
      </c>
      <c r="F56" t="inlineStr">
        <is>
          <t>VÄSTRA GÖTALANDS LÄN</t>
        </is>
      </c>
      <c r="G56" t="inlineStr">
        <is>
          <t>TIBRO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44929</v>
      </c>
      <c r="E57" s="1" t="n">
        <v>46252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44930</v>
      </c>
      <c r="E58" s="1" t="n">
        <v>46252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46252</v>
      </c>
      <c r="F59" t="inlineStr">
        <is>
          <t>VÄSTRA GÖTALANDS LÄN</t>
        </is>
      </c>
      <c r="G59" t="inlineStr">
        <is>
          <t>TIBRO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46252</v>
      </c>
      <c r="F60" t="inlineStr">
        <is>
          <t>VÄSTRA GÖTALANDS LÄN</t>
        </is>
      </c>
      <c r="G60" t="inlineStr">
        <is>
          <t>TIBRO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46252</v>
      </c>
      <c r="F61" t="inlineStr">
        <is>
          <t>VÄSTRA GÖTALANDS LÄN</t>
        </is>
      </c>
      <c r="G61" t="inlineStr">
        <is>
          <t>TIBRO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45324</v>
      </c>
      <c r="E62" s="1" t="n">
        <v>46252</v>
      </c>
      <c r="F62" t="inlineStr">
        <is>
          <t>VÄSTRA GÖTALANDS LÄN</t>
        </is>
      </c>
      <c r="G62" t="inlineStr">
        <is>
          <t>TIBRO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44922</v>
      </c>
      <c r="E63" s="1" t="n">
        <v>46252</v>
      </c>
      <c r="F63" t="inlineStr">
        <is>
          <t>VÄSTRA GÖTALANDS LÄN</t>
        </is>
      </c>
      <c r="G63" t="inlineStr">
        <is>
          <t>TIBRO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46252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40671-2024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45558</v>
      </c>
      <c r="E65" s="1" t="n">
        <v>46252</v>
      </c>
      <c r="F65" t="inlineStr">
        <is>
          <t>VÄSTRA GÖTALANDS LÄN</t>
        </is>
      </c>
      <c r="G65" t="inlineStr">
        <is>
          <t>TIBRO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46252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14383-2024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45394</v>
      </c>
      <c r="E67" s="1" t="n">
        <v>46252</v>
      </c>
      <c r="F67" t="inlineStr">
        <is>
          <t>VÄSTRA GÖTALANDS LÄN</t>
        </is>
      </c>
      <c r="G67" t="inlineStr">
        <is>
          <t>TIBRO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46252</v>
      </c>
      <c r="F68" t="inlineStr">
        <is>
          <t>VÄSTRA GÖTALANDS LÄN</t>
        </is>
      </c>
      <c r="G68" t="inlineStr">
        <is>
          <t>TIBRO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46252</v>
      </c>
      <c r="F69" t="inlineStr">
        <is>
          <t>VÄSTRA GÖTALANDS LÄN</t>
        </is>
      </c>
      <c r="G69" t="inlineStr">
        <is>
          <t>TIBRO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46252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45519</v>
      </c>
      <c r="E71" s="1" t="n">
        <v>46252</v>
      </c>
      <c r="F71" t="inlineStr">
        <is>
          <t>VÄSTRA GÖTALANDS LÄN</t>
        </is>
      </c>
      <c r="G71" t="inlineStr">
        <is>
          <t>TIBRO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45527</v>
      </c>
      <c r="E72" s="1" t="n">
        <v>46252</v>
      </c>
      <c r="F72" t="inlineStr">
        <is>
          <t>VÄSTRA GÖTALANDS LÄN</t>
        </is>
      </c>
      <c r="G72" t="inlineStr">
        <is>
          <t>TIBRO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46252</v>
      </c>
      <c r="F73" t="inlineStr">
        <is>
          <t>VÄSTRA GÖTALANDS LÄN</t>
        </is>
      </c>
      <c r="G73" t="inlineStr">
        <is>
          <t>TIBRO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44901</v>
      </c>
      <c r="E74" s="1" t="n">
        <v>46252</v>
      </c>
      <c r="F74" t="inlineStr">
        <is>
          <t>VÄSTRA GÖTALANDS LÄN</t>
        </is>
      </c>
      <c r="G74" t="inlineStr">
        <is>
          <t>TIBRO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46252</v>
      </c>
      <c r="F75" t="inlineStr">
        <is>
          <t>VÄSTRA GÖTALANDS LÄN</t>
        </is>
      </c>
      <c r="G75" t="inlineStr">
        <is>
          <t>TIBRO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44845</v>
      </c>
      <c r="E76" s="1" t="n">
        <v>46252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46252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17150-2023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45034</v>
      </c>
      <c r="E78" s="1" t="n">
        <v>46252</v>
      </c>
      <c r="F78" t="inlineStr">
        <is>
          <t>VÄSTRA GÖTALANDS LÄN</t>
        </is>
      </c>
      <c r="G78" t="inlineStr">
        <is>
          <t>TIBRO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46252</v>
      </c>
      <c r="F79" t="inlineStr">
        <is>
          <t>VÄSTRA GÖTALANDS LÄN</t>
        </is>
      </c>
      <c r="G79" t="inlineStr">
        <is>
          <t>TIBRO</t>
        </is>
      </c>
      <c r="H79" t="inlineStr">
        <is>
          <t>Kommuner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45203</v>
      </c>
      <c r="E80" s="1" t="n">
        <v>46252</v>
      </c>
      <c r="F80" t="inlineStr">
        <is>
          <t>VÄSTRA GÖTALANDS LÄN</t>
        </is>
      </c>
      <c r="G80" t="inlineStr">
        <is>
          <t>TIBRO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46252</v>
      </c>
      <c r="F81" t="inlineStr">
        <is>
          <t>VÄSTRA GÖTALANDS LÄN</t>
        </is>
      </c>
      <c r="G81" t="inlineStr">
        <is>
          <t>TIBRO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46252</v>
      </c>
      <c r="F82" t="inlineStr">
        <is>
          <t>VÄSTRA GÖTALANDS LÄN</t>
        </is>
      </c>
      <c r="G82" t="inlineStr">
        <is>
          <t>TIBRO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46252</v>
      </c>
      <c r="F83" t="inlineStr">
        <is>
          <t>VÄSTRA GÖTALANDS LÄN</t>
        </is>
      </c>
      <c r="G83" t="inlineStr">
        <is>
          <t>TIBRO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46252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46252</v>
      </c>
      <c r="F85" t="inlineStr">
        <is>
          <t>VÄSTRA GÖTALANDS LÄN</t>
        </is>
      </c>
      <c r="G85" t="inlineStr">
        <is>
          <t>TIBRO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45401</v>
      </c>
      <c r="E86" s="1" t="n">
        <v>46252</v>
      </c>
      <c r="F86" t="inlineStr">
        <is>
          <t>VÄSTRA GÖTALANDS LÄN</t>
        </is>
      </c>
      <c r="G86" t="inlineStr">
        <is>
          <t>TIBRO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46058</v>
      </c>
      <c r="E87" s="1" t="n">
        <v>46252</v>
      </c>
      <c r="F87" t="inlineStr">
        <is>
          <t>VÄSTRA GÖTALANDS LÄN</t>
        </is>
      </c>
      <c r="G87" t="inlineStr">
        <is>
          <t>TIBRO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46252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46252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46252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19384-2023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45049</v>
      </c>
      <c r="E91" s="1" t="n">
        <v>46252</v>
      </c>
      <c r="F91" t="inlineStr">
        <is>
          <t>VÄSTRA GÖTALANDS LÄN</t>
        </is>
      </c>
      <c r="G91" t="inlineStr">
        <is>
          <t>TIBRO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13618-2026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46252</v>
      </c>
      <c r="F92" t="inlineStr">
        <is>
          <t>VÄSTRA GÖTALANDS LÄN</t>
        </is>
      </c>
      <c r="G92" t="inlineStr">
        <is>
          <t>TIBRO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46112</v>
      </c>
      <c r="E93" s="1" t="n">
        <v>46252</v>
      </c>
      <c r="F93" t="inlineStr">
        <is>
          <t>VÄSTRA GÖTALANDS LÄN</t>
        </is>
      </c>
      <c r="G93" t="inlineStr">
        <is>
          <t>TIBRO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27990-2026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46252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46252</v>
      </c>
      <c r="F95" t="inlineStr">
        <is>
          <t>VÄSTRA GÖTALANDS LÄN</t>
        </is>
      </c>
      <c r="G95" t="inlineStr">
        <is>
          <t>TIBRO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47650-2023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45203</v>
      </c>
      <c r="E96" s="1" t="n">
        <v>46252</v>
      </c>
      <c r="F96" t="inlineStr">
        <is>
          <t>VÄSTRA GÖTALANDS LÄN</t>
        </is>
      </c>
      <c r="G96" t="inlineStr">
        <is>
          <t>TIBRO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46252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46252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46252</v>
      </c>
      <c r="F99" t="inlineStr">
        <is>
          <t>VÄSTRA GÖTALANDS LÄN</t>
        </is>
      </c>
      <c r="G99" t="inlineStr">
        <is>
          <t>TIBRO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46252</v>
      </c>
      <c r="F100" t="inlineStr">
        <is>
          <t>VÄSTRA GÖTALANDS LÄN</t>
        </is>
      </c>
      <c r="G100" t="inlineStr">
        <is>
          <t>TIBRO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46252</v>
      </c>
      <c r="F101" t="inlineStr">
        <is>
          <t>VÄSTRA GÖTALANDS LÄN</t>
        </is>
      </c>
      <c r="G101" t="inlineStr">
        <is>
          <t>TIBRO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45786</v>
      </c>
      <c r="E102" s="1" t="n">
        <v>46252</v>
      </c>
      <c r="F102" t="inlineStr">
        <is>
          <t>VÄSTRA GÖTALANDS LÄN</t>
        </is>
      </c>
      <c r="G102" t="inlineStr">
        <is>
          <t>TIBRO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45591</v>
      </c>
      <c r="E103" s="1" t="n">
        <v>46252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45642</v>
      </c>
      <c r="E104" s="1" t="n">
        <v>46252</v>
      </c>
      <c r="F104" t="inlineStr">
        <is>
          <t>VÄSTRA GÖTALANDS LÄN</t>
        </is>
      </c>
      <c r="G104" t="inlineStr">
        <is>
          <t>TIBRO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45619</v>
      </c>
      <c r="E105" s="1" t="n">
        <v>46252</v>
      </c>
      <c r="F105" t="inlineStr">
        <is>
          <t>VÄSTRA GÖTALANDS LÄN</t>
        </is>
      </c>
      <c r="G105" t="inlineStr">
        <is>
          <t>TIBRO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64438-2023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46252</v>
      </c>
      <c r="F106" t="inlineStr">
        <is>
          <t>VÄSTRA GÖTALANDS LÄN</t>
        </is>
      </c>
      <c r="G106" t="inlineStr">
        <is>
          <t>TIBRO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46252</v>
      </c>
      <c r="F107" t="inlineStr">
        <is>
          <t>VÄSTRA GÖTALANDS LÄN</t>
        </is>
      </c>
      <c r="G107" t="inlineStr">
        <is>
          <t>TIBRO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46252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46252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46252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46252</v>
      </c>
      <c r="F111" t="inlineStr">
        <is>
          <t>VÄSTRA GÖTALANDS LÄN</t>
        </is>
      </c>
      <c r="G111" t="inlineStr">
        <is>
          <t>TIBRO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46252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46252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46252</v>
      </c>
      <c r="F114" t="inlineStr">
        <is>
          <t>VÄSTRA GÖTALANDS LÄN</t>
        </is>
      </c>
      <c r="G114" t="inlineStr">
        <is>
          <t>TIBRO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46252</v>
      </c>
      <c r="F115" t="inlineStr">
        <is>
          <t>VÄSTRA GÖTALANDS LÄN</t>
        </is>
      </c>
      <c r="G115" t="inlineStr">
        <is>
          <t>TIBRO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46252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46252</v>
      </c>
      <c r="F117" t="inlineStr">
        <is>
          <t>VÄSTRA GÖTALANDS LÄN</t>
        </is>
      </c>
      <c r="G117" t="inlineStr">
        <is>
          <t>TIBRO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46252</v>
      </c>
      <c r="F118" t="inlineStr">
        <is>
          <t>VÄSTRA GÖTALANDS LÄN</t>
        </is>
      </c>
      <c r="G118" t="inlineStr">
        <is>
          <t>TIBRO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46252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46252</v>
      </c>
      <c r="F120" t="inlineStr">
        <is>
          <t>VÄSTRA GÖTALANDS LÄN</t>
        </is>
      </c>
      <c r="G120" t="inlineStr">
        <is>
          <t>TIBRO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46252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46252</v>
      </c>
      <c r="F122" t="inlineStr">
        <is>
          <t>VÄSTRA GÖTALANDS LÄN</t>
        </is>
      </c>
      <c r="G122" t="inlineStr">
        <is>
          <t>TIBRO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46252</v>
      </c>
      <c r="F123" t="inlineStr">
        <is>
          <t>VÄSTRA GÖTALANDS LÄN</t>
        </is>
      </c>
      <c r="G123" t="inlineStr">
        <is>
          <t>TIBRO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46252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46252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2026-08-18T01:45:32Z</dcterms:created>
  <dcterms:modified xmlns:dcterms="http://purl.org/dc/terms/" xmlns:xsi="http://www.w3.org/2001/XMLSchema-instance" xsi:type="dcterms:W3CDTF">2026-08-18T01:45:32Z</dcterms:modified>
</cp:coreProperties>
</file>