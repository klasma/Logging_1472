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46274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46274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46274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46274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46274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46274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46274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46274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46274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29819-2025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46274</v>
      </c>
      <c r="F13" t="inlineStr">
        <is>
          <t>VÄSTRA GÖTALANDS LÄN</t>
        </is>
      </c>
      <c r="G13" t="inlineStr">
        <is>
          <t>TIBRO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Nattskärra</t>
        </is>
      </c>
      <c r="W13">
        <f>HYPERLINK("https://klasma.github.io/Logging_1472/artfynd/A 29819-2025 artfynd.xlsx", "A 29819-2025")</f>
        <v/>
      </c>
      <c r="X13">
        <f>HYPERLINK("https://klasma.github.io/Logging_1472/kartor/A 29819-2025 karta.png", "A 29819-2025")</f>
        <v/>
      </c>
      <c r="Y13">
        <f>HYPERLINK("https://klasma.github.io/Logging_1472/kartor_geotiff/A 29819-2025 georefererad karta.tif", "A 29819-2025")</f>
        <v/>
      </c>
      <c r="AA13">
        <f>HYPERLINK("https://klasma.github.io/Logging_1472/klagomål/A 29819-2025 FSC-klagomål.docx", "A 29819-2025")</f>
        <v/>
      </c>
      <c r="AB13">
        <f>HYPERLINK("https://klasma.github.io/Logging_1472/klagomålsmail/A 29819-2025 FSC-klagomål mail.docx", "A 29819-2025")</f>
        <v/>
      </c>
      <c r="AC13">
        <f>HYPERLINK("https://klasma.github.io/Logging_1472/tillsyn/A 29819-2025 tillsynsbegäran.docx", "A 29819-2025")</f>
        <v/>
      </c>
      <c r="AD13">
        <f>HYPERLINK("https://klasma.github.io/Logging_1472/tillsynsmail/A 29819-2025 tillsynsbegäran mail.docx", "A 29819-2025")</f>
        <v/>
      </c>
      <c r="AE13">
        <f>HYPERLINK("https://klasma.github.io/Logging_1472/fåglar/A 29819-2025 prioriterade fågelarter.docx", "A 29819-2025")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46274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46274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46274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46274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46274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46274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46274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46274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46274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46274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46274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46274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46274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46274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46274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46274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46274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46274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44715</v>
      </c>
      <c r="E32" s="1" t="n">
        <v>46274</v>
      </c>
      <c r="F32" t="inlineStr">
        <is>
          <t>VÄSTRA GÖTALANDS LÄN</t>
        </is>
      </c>
      <c r="G32" t="inlineStr">
        <is>
          <t>TIBRO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29822-2023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46274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46274</v>
      </c>
      <c r="F34" t="inlineStr">
        <is>
          <t>VÄSTRA GÖTALANDS LÄN</t>
        </is>
      </c>
      <c r="G34" t="inlineStr">
        <is>
          <t>TIBRO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46274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15684-2023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45021</v>
      </c>
      <c r="E36" s="1" t="n">
        <v>46274</v>
      </c>
      <c r="F36" t="inlineStr">
        <is>
          <t>VÄSTRA GÖTALANDS LÄN</t>
        </is>
      </c>
      <c r="G36" t="inlineStr">
        <is>
          <t>TIBRO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44986</v>
      </c>
      <c r="E37" s="1" t="n">
        <v>46274</v>
      </c>
      <c r="F37" t="inlineStr">
        <is>
          <t>VÄSTRA GÖTALANDS LÄN</t>
        </is>
      </c>
      <c r="G37" t="inlineStr">
        <is>
          <t>TIBRO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46274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46274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46274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46274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44930</v>
      </c>
      <c r="E42" s="1" t="n">
        <v>46274</v>
      </c>
      <c r="F42" t="inlineStr">
        <is>
          <t>VÄSTRA GÖTALANDS LÄN</t>
        </is>
      </c>
      <c r="G42" t="inlineStr">
        <is>
          <t>TIBRO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36868-2022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46274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46274</v>
      </c>
      <c r="F44" t="inlineStr">
        <is>
          <t>VÄSTRA GÖTALANDS LÄN</t>
        </is>
      </c>
      <c r="G44" t="inlineStr">
        <is>
          <t>TIBRO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45394</v>
      </c>
      <c r="E45" s="1" t="n">
        <v>46274</v>
      </c>
      <c r="F45" t="inlineStr">
        <is>
          <t>VÄSTRA GÖTALANDS LÄN</t>
        </is>
      </c>
      <c r="G45" t="inlineStr">
        <is>
          <t>TIBRO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53160-2023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46274</v>
      </c>
      <c r="F46" t="inlineStr">
        <is>
          <t>VÄSTRA GÖTALANDS LÄN</t>
        </is>
      </c>
      <c r="G46" t="inlineStr">
        <is>
          <t>TIBRO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46274</v>
      </c>
      <c r="F47" t="inlineStr">
        <is>
          <t>VÄSTRA GÖTALANDS LÄN</t>
        </is>
      </c>
      <c r="G47" t="inlineStr">
        <is>
          <t>TIBRO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46274</v>
      </c>
      <c r="F48" t="inlineStr">
        <is>
          <t>VÄSTRA GÖTALANDS LÄN</t>
        </is>
      </c>
      <c r="G48" t="inlineStr">
        <is>
          <t>TIBRO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46274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46274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46274</v>
      </c>
      <c r="F51" t="inlineStr">
        <is>
          <t>VÄSTRA GÖTALANDS LÄN</t>
        </is>
      </c>
      <c r="G51" t="inlineStr">
        <is>
          <t>TIBRO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16687-2025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46274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44922</v>
      </c>
      <c r="E53" s="1" t="n">
        <v>46274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61975-2021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46274</v>
      </c>
      <c r="F54" t="inlineStr">
        <is>
          <t>VÄSTRA GÖTALANDS LÄN</t>
        </is>
      </c>
      <c r="G54" t="inlineStr">
        <is>
          <t>TIBRO</t>
        </is>
      </c>
      <c r="H54" t="inlineStr">
        <is>
          <t>Kommuner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47649-2023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45203</v>
      </c>
      <c r="E55" s="1" t="n">
        <v>46274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45786</v>
      </c>
      <c r="E56" s="1" t="n">
        <v>46274</v>
      </c>
      <c r="F56" t="inlineStr">
        <is>
          <t>VÄSTRA GÖTALANDS LÄN</t>
        </is>
      </c>
      <c r="G56" t="inlineStr">
        <is>
          <t>TIBRO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44944</v>
      </c>
      <c r="E57" s="1" t="n">
        <v>46274</v>
      </c>
      <c r="F57" t="inlineStr">
        <is>
          <t>VÄSTRA GÖTALANDS LÄN</t>
        </is>
      </c>
      <c r="G57" t="inlineStr">
        <is>
          <t>TIBRO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45642</v>
      </c>
      <c r="E58" s="1" t="n">
        <v>46274</v>
      </c>
      <c r="F58" t="inlineStr">
        <is>
          <t>VÄSTRA GÖTALANDS LÄN</t>
        </is>
      </c>
      <c r="G58" t="inlineStr">
        <is>
          <t>TIBRO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45642</v>
      </c>
      <c r="E59" s="1" t="n">
        <v>46274</v>
      </c>
      <c r="F59" t="inlineStr">
        <is>
          <t>VÄSTRA GÖTALANDS LÄN</t>
        </is>
      </c>
      <c r="G59" t="inlineStr">
        <is>
          <t>TIBRO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64438-2023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46274</v>
      </c>
      <c r="F60" t="inlineStr">
        <is>
          <t>VÄSTRA GÖTALANDS LÄN</t>
        </is>
      </c>
      <c r="G60" t="inlineStr">
        <is>
          <t>TIBRO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41130-2025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45898</v>
      </c>
      <c r="E61" s="1" t="n">
        <v>46274</v>
      </c>
      <c r="F61" t="inlineStr">
        <is>
          <t>VÄSTRA GÖTALANDS LÄN</t>
        </is>
      </c>
      <c r="G61" t="inlineStr">
        <is>
          <t>TIBRO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46274</v>
      </c>
      <c r="F62" t="inlineStr">
        <is>
          <t>VÄSTRA GÖTALANDS LÄN</t>
        </is>
      </c>
      <c r="G62" t="inlineStr">
        <is>
          <t>TIBRO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46274</v>
      </c>
      <c r="F63" t="inlineStr">
        <is>
          <t>VÄSTRA GÖTALANDS LÄN</t>
        </is>
      </c>
      <c r="G63" t="inlineStr">
        <is>
          <t>TIBRO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15409-2024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46274</v>
      </c>
      <c r="F64" t="inlineStr">
        <is>
          <t>VÄSTRA GÖTALANDS LÄN</t>
        </is>
      </c>
      <c r="G64" t="inlineStr">
        <is>
          <t>TIBRO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45561</v>
      </c>
      <c r="E65" s="1" t="n">
        <v>46274</v>
      </c>
      <c r="F65" t="inlineStr">
        <is>
          <t>VÄSTRA GÖTALANDS LÄN</t>
        </is>
      </c>
      <c r="G65" t="inlineStr">
        <is>
          <t>TIBRO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46146</v>
      </c>
      <c r="E66" s="1" t="n">
        <v>46274</v>
      </c>
      <c r="F66" t="inlineStr">
        <is>
          <t>VÄSTRA GÖTALANDS LÄN</t>
        </is>
      </c>
      <c r="G66" t="inlineStr">
        <is>
          <t>TIBRO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46274</v>
      </c>
      <c r="F67" t="inlineStr">
        <is>
          <t>VÄSTRA GÖTALANDS LÄN</t>
        </is>
      </c>
      <c r="G67" t="inlineStr">
        <is>
          <t>TIBRO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10737-2023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44984</v>
      </c>
      <c r="E68" s="1" t="n">
        <v>46274</v>
      </c>
      <c r="F68" t="inlineStr">
        <is>
          <t>VÄSTRA GÖTALANDS LÄN</t>
        </is>
      </c>
      <c r="G68" t="inlineStr">
        <is>
          <t>TIBRO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46274</v>
      </c>
      <c r="F69" t="inlineStr">
        <is>
          <t>VÄSTRA GÖTALANDS LÄN</t>
        </is>
      </c>
      <c r="G69" t="inlineStr">
        <is>
          <t>TIBRO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45960</v>
      </c>
      <c r="E70" s="1" t="n">
        <v>46274</v>
      </c>
      <c r="F70" t="inlineStr">
        <is>
          <t>VÄSTRA GÖTALANDS LÄN</t>
        </is>
      </c>
      <c r="G70" t="inlineStr">
        <is>
          <t>TIBRO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45249</v>
      </c>
      <c r="E71" s="1" t="n">
        <v>46274</v>
      </c>
      <c r="F71" t="inlineStr">
        <is>
          <t>VÄSTRA GÖTALANDS LÄN</t>
        </is>
      </c>
      <c r="G71" t="inlineStr">
        <is>
          <t>TIBRO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46274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46274</v>
      </c>
      <c r="F73" t="inlineStr">
        <is>
          <t>VÄSTRA GÖTALANDS LÄN</t>
        </is>
      </c>
      <c r="G73" t="inlineStr">
        <is>
          <t>TIBRO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46274</v>
      </c>
      <c r="F74" t="inlineStr">
        <is>
          <t>VÄSTRA GÖTALANDS LÄN</t>
        </is>
      </c>
      <c r="G74" t="inlineStr">
        <is>
          <t>TIBRO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46274</v>
      </c>
      <c r="F75" t="inlineStr">
        <is>
          <t>VÄSTRA GÖTALANDS LÄN</t>
        </is>
      </c>
      <c r="G75" t="inlineStr">
        <is>
          <t>TIBRO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46274</v>
      </c>
      <c r="F76" t="inlineStr">
        <is>
          <t>VÄSTRA GÖTALANDS LÄN</t>
        </is>
      </c>
      <c r="G76" t="inlineStr">
        <is>
          <t>TIBRO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46274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45239</v>
      </c>
      <c r="E78" s="1" t="n">
        <v>46274</v>
      </c>
      <c r="F78" t="inlineStr">
        <is>
          <t>VÄSTRA GÖTALANDS LÄN</t>
        </is>
      </c>
      <c r="G78" t="inlineStr">
        <is>
          <t>TIBRO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46274</v>
      </c>
      <c r="F79" t="inlineStr">
        <is>
          <t>VÄSTRA GÖTALANDS LÄN</t>
        </is>
      </c>
      <c r="G79" t="inlineStr">
        <is>
          <t>TIBRO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46274</v>
      </c>
      <c r="F80" t="inlineStr">
        <is>
          <t>VÄSTRA GÖTALANDS LÄN</t>
        </is>
      </c>
      <c r="G80" t="inlineStr">
        <is>
          <t>TIBRO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46274</v>
      </c>
      <c r="F81" t="inlineStr">
        <is>
          <t>VÄSTRA GÖTALANDS LÄN</t>
        </is>
      </c>
      <c r="G81" t="inlineStr">
        <is>
          <t>TIBRO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46274</v>
      </c>
      <c r="F82" t="inlineStr">
        <is>
          <t>VÄSTRA GÖTALANDS LÄN</t>
        </is>
      </c>
      <c r="G82" t="inlineStr">
        <is>
          <t>TIBRO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47903-2025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45932</v>
      </c>
      <c r="E83" s="1" t="n">
        <v>46274</v>
      </c>
      <c r="F83" t="inlineStr">
        <is>
          <t>VÄSTRA GÖTALANDS LÄN</t>
        </is>
      </c>
      <c r="G83" t="inlineStr">
        <is>
          <t>TIBRO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46274</v>
      </c>
      <c r="F84" t="inlineStr">
        <is>
          <t>VÄSTRA GÖTALANDS LÄN</t>
        </is>
      </c>
      <c r="G84" t="inlineStr">
        <is>
          <t>TIBRO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40671-2024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46274</v>
      </c>
      <c r="F85" t="inlineStr">
        <is>
          <t>VÄSTRA GÖTALANDS LÄN</t>
        </is>
      </c>
      <c r="G85" t="inlineStr">
        <is>
          <t>TIBRO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46112</v>
      </c>
      <c r="E86" s="1" t="n">
        <v>46274</v>
      </c>
      <c r="F86" t="inlineStr">
        <is>
          <t>VÄSTRA GÖTALANDS LÄN</t>
        </is>
      </c>
      <c r="G86" t="inlineStr">
        <is>
          <t>TIBRO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46274</v>
      </c>
      <c r="F87" t="inlineStr">
        <is>
          <t>VÄSTRA GÖTALANDS LÄN</t>
        </is>
      </c>
      <c r="G87" t="inlineStr">
        <is>
          <t>TIBRO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46273</v>
      </c>
      <c r="E88" s="1" t="n">
        <v>46274</v>
      </c>
      <c r="F88" t="inlineStr">
        <is>
          <t>VÄSTRA GÖTALANDS LÄN</t>
        </is>
      </c>
      <c r="G88" t="inlineStr">
        <is>
          <t>TIBRO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18004-2026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46274</v>
      </c>
      <c r="F89" t="inlineStr">
        <is>
          <t>VÄSTRA GÖTALANDS LÄN</t>
        </is>
      </c>
      <c r="G89" t="inlineStr">
        <is>
          <t>TIBRO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46274</v>
      </c>
      <c r="F90" t="inlineStr">
        <is>
          <t>VÄSTRA GÖTALANDS LÄN</t>
        </is>
      </c>
      <c r="G90" t="inlineStr">
        <is>
          <t>TIBRO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45519</v>
      </c>
      <c r="E91" s="1" t="n">
        <v>46274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46274</v>
      </c>
      <c r="F92" t="inlineStr">
        <is>
          <t>VÄSTRA GÖTALANDS LÄN</t>
        </is>
      </c>
      <c r="G92" t="inlineStr">
        <is>
          <t>TIBRO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46274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17150-2023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45034</v>
      </c>
      <c r="E94" s="1" t="n">
        <v>46274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65114-2021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46274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44922</v>
      </c>
      <c r="E96" s="1" t="n">
        <v>46274</v>
      </c>
      <c r="F96" t="inlineStr">
        <is>
          <t>VÄSTRA GÖTALANDS LÄN</t>
        </is>
      </c>
      <c r="G96" t="inlineStr">
        <is>
          <t>TIBRO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44574</v>
      </c>
      <c r="E97" s="1" t="n">
        <v>46274</v>
      </c>
      <c r="F97" t="inlineStr">
        <is>
          <t>VÄSTRA GÖTALANDS LÄN</t>
        </is>
      </c>
      <c r="G97" t="inlineStr">
        <is>
          <t>TIBRO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45253</v>
      </c>
      <c r="E98" s="1" t="n">
        <v>46274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46274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46274</v>
      </c>
      <c r="F100" t="inlineStr">
        <is>
          <t>VÄSTRA GÖTALANDS LÄN</t>
        </is>
      </c>
      <c r="G100" t="inlineStr">
        <is>
          <t>TIBRO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45049</v>
      </c>
      <c r="E101" s="1" t="n">
        <v>46274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45203</v>
      </c>
      <c r="E102" s="1" t="n">
        <v>46274</v>
      </c>
      <c r="F102" t="inlineStr">
        <is>
          <t>VÄSTRA GÖTALANDS LÄN</t>
        </is>
      </c>
      <c r="G102" t="inlineStr">
        <is>
          <t>TIBRO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46274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45251</v>
      </c>
      <c r="E104" s="1" t="n">
        <v>46274</v>
      </c>
      <c r="F104" t="inlineStr">
        <is>
          <t>VÄSTRA GÖTALANDS LÄN</t>
        </is>
      </c>
      <c r="G104" t="inlineStr">
        <is>
          <t>TIBRO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46274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45591</v>
      </c>
      <c r="E106" s="1" t="n">
        <v>46274</v>
      </c>
      <c r="F106" t="inlineStr">
        <is>
          <t>VÄSTRA GÖTALANDS LÄN</t>
        </is>
      </c>
      <c r="G106" t="inlineStr">
        <is>
          <t>TIBRO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54948-2024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45619</v>
      </c>
      <c r="E107" s="1" t="n">
        <v>46274</v>
      </c>
      <c r="F107" t="inlineStr">
        <is>
          <t>VÄSTRA GÖTALANDS LÄN</t>
        </is>
      </c>
      <c r="G107" t="inlineStr">
        <is>
          <t>TIBRO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46274</v>
      </c>
      <c r="F108" t="inlineStr">
        <is>
          <t>VÄSTRA GÖTALANDS LÄN</t>
        </is>
      </c>
      <c r="G108" t="inlineStr">
        <is>
          <t>TIBRO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46274</v>
      </c>
      <c r="F109" t="inlineStr">
        <is>
          <t>VÄSTRA GÖTALANDS LÄN</t>
        </is>
      </c>
      <c r="G109" t="inlineStr">
        <is>
          <t>TIBRO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46274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46274</v>
      </c>
      <c r="F111" t="inlineStr">
        <is>
          <t>VÄSTRA GÖTALANDS LÄN</t>
        </is>
      </c>
      <c r="G111" t="inlineStr">
        <is>
          <t>TIBRO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46274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46274</v>
      </c>
      <c r="F113" t="inlineStr">
        <is>
          <t>VÄSTRA GÖTALANDS LÄN</t>
        </is>
      </c>
      <c r="G113" t="inlineStr">
        <is>
          <t>TIBRO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46274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46274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46274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46274</v>
      </c>
      <c r="F117" t="inlineStr">
        <is>
          <t>VÄSTRA GÖTALANDS LÄN</t>
        </is>
      </c>
      <c r="G117" t="inlineStr">
        <is>
          <t>TIBRO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46274</v>
      </c>
      <c r="F118" t="inlineStr">
        <is>
          <t>VÄSTRA GÖTALANDS LÄN</t>
        </is>
      </c>
      <c r="G118" t="inlineStr">
        <is>
          <t>TIBRO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46274</v>
      </c>
      <c r="F119" t="inlineStr">
        <is>
          <t>VÄSTRA GÖTALANDS LÄN</t>
        </is>
      </c>
      <c r="G119" t="inlineStr">
        <is>
          <t>TIBRO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46274</v>
      </c>
      <c r="F120" t="inlineStr">
        <is>
          <t>VÄSTRA GÖTALANDS LÄN</t>
        </is>
      </c>
      <c r="G120" t="inlineStr">
        <is>
          <t>TIBRO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46274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46274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2026-09-09T02:12:58Z</dcterms:created>
  <dcterms:modified xmlns:dcterms="http://purl.org/dc/terms/" xmlns:xsi="http://www.w3.org/2001/XMLSchema-instance" xsi:type="dcterms:W3CDTF">2026-09-09T02:12:58Z</dcterms:modified>
</cp:coreProperties>
</file>