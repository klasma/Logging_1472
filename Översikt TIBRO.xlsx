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46283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46283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46283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46283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46283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t="n">
        <v>0</v>
      </c>
      <c r="V6" s="2" t="inlineStr">
        <is>
          <t>Knärot
Flagellkvastmossa</t>
        </is>
      </c>
      <c r="W6">
        <f>HYPERLINK("https://klasma.github.io/Logging_1472/artfynd/A 25330-2026 artfynd.xlsx", "A 25330-2026")</f>
        <v/>
      </c>
      <c r="X6">
        <f>HYPERLINK("https://klasma.github.io/Logging_1472/kartor/A 25330-2026 karta.png", "A 25330-2026")</f>
        <v/>
      </c>
      <c r="Y6">
        <f>HYPERLINK("https://klasma.github.io/Logging_1472/kartor_geotiff/A 25330-2026 georefererad karta.tif", "A 25330-2026")</f>
        <v/>
      </c>
      <c r="Z6">
        <f>HYPERLINK("https://klasma.github.io/Logging_1472/knärot/A 25330-2026 karta knärot.png", "A 25330-2026")</f>
        <v/>
      </c>
      <c r="AA6">
        <f>HYPERLINK("https://klasma.github.io/Logging_1472/klagomål/A 25330-2026 FSC-klagomål.docx", "A 25330-2026")</f>
        <v/>
      </c>
      <c r="AB6">
        <f>HYPERLINK("https://klasma.github.io/Logging_1472/klagomålsmail/A 25330-2026 FSC-klagomål mail.docx", "A 25330-2026")</f>
        <v/>
      </c>
      <c r="AC6">
        <f>HYPERLINK("https://klasma.github.io/Logging_1472/tillsyn/A 25330-2026 tillsynsbegäran.docx", "A 25330-2026")</f>
        <v/>
      </c>
      <c r="AD6">
        <f>HYPERLINK("https://klasma.github.io/Logging_1472/tillsynsmail/A 25330-2026 tillsynsbegäran mail.docx", "A 25330-2026")</f>
        <v/>
      </c>
    </row>
    <row r="7" ht="15" customHeight="1">
      <c r="A7" t="inlineStr">
        <is>
          <t>A 29724-2022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44755</v>
      </c>
      <c r="E7" s="1" t="n">
        <v>46283</v>
      </c>
      <c r="F7" t="inlineStr">
        <is>
          <t>VÄSTRA GÖTALANDS LÄN</t>
        </is>
      </c>
      <c r="G7" t="inlineStr">
        <is>
          <t>TIBRO</t>
        </is>
      </c>
      <c r="I7" t="n">
        <v>11.8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7</v>
      </c>
      <c r="U7" t="n">
        <v>7</v>
      </c>
      <c r="V7" s="2" t="inlineStr">
        <is>
          <t>Knärot
Flagellkvastmossa</t>
        </is>
      </c>
      <c r="W7">
        <f>HYPERLINK("https://klasma.github.io/Logging_1472/artfynd/A 29724-2022 artfynd.xlsx", "A 29724-2022")</f>
        <v/>
      </c>
      <c r="X7">
        <f>HYPERLINK("https://klasma.github.io/Logging_1472/kartor/A 29724-2022 karta.png", "A 29724-2022")</f>
        <v/>
      </c>
      <c r="Y7">
        <f>HYPERLINK("https://klasma.github.io/Logging_1472/kartor_geotiff/A 29724-2022 georefererad karta.tif", "A 29724-2022")</f>
        <v/>
      </c>
      <c r="Z7">
        <f>HYPERLINK("https://klasma.github.io/Logging_1472/knärot/A 29724-2022 karta knärot.png", "A 29724-2022")</f>
        <v/>
      </c>
      <c r="AA7">
        <f>HYPERLINK("https://klasma.github.io/Logging_1472/klagomål/A 29724-2022 FSC-klagomål.docx", "A 29724-2022")</f>
        <v/>
      </c>
      <c r="AB7">
        <f>HYPERLINK("https://klasma.github.io/Logging_1472/klagomålsmail/A 29724-2022 FSC-klagomål mail.docx", "A 29724-2022")</f>
        <v/>
      </c>
      <c r="AC7">
        <f>HYPERLINK("https://klasma.github.io/Logging_1472/tillsyn/A 29724-2022 tillsynsbegäran.docx", "A 29724-2022")</f>
        <v/>
      </c>
      <c r="AD7">
        <f>HYPERLINK("https://klasma.github.io/Logging_1472/tillsynsmail/A 29724-2022 tillsynsbegäran mail.docx", "A 29724-2022")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46283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46283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46283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46283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46283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6870-2022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46283</v>
      </c>
      <c r="F13" t="inlineStr">
        <is>
          <t>VÄSTRA GÖTALANDS LÄN</t>
        </is>
      </c>
      <c r="G13" t="inlineStr">
        <is>
          <t>TIBRO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25943-2022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44734</v>
      </c>
      <c r="E14" s="1" t="n">
        <v>46283</v>
      </c>
      <c r="F14" t="inlineStr">
        <is>
          <t>VÄSTRA GÖTALANDS LÄN</t>
        </is>
      </c>
      <c r="G14" t="inlineStr">
        <is>
          <t>TIBRO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46283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6800-2022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46283</v>
      </c>
      <c r="F16" t="inlineStr">
        <is>
          <t>VÄSTRA GÖTALANDS LÄN</t>
        </is>
      </c>
      <c r="G16" t="inlineStr">
        <is>
          <t>TIBRO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46283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46283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36402-2022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44804</v>
      </c>
      <c r="E19" s="1" t="n">
        <v>46283</v>
      </c>
      <c r="F19" t="inlineStr">
        <is>
          <t>VÄSTRA GÖTALANDS LÄN</t>
        </is>
      </c>
      <c r="G19" t="inlineStr">
        <is>
          <t>TIBRO</t>
        </is>
      </c>
      <c r="H19" t="inlineStr">
        <is>
          <t>Sveaskog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64871-2021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46283</v>
      </c>
      <c r="F20" t="inlineStr">
        <is>
          <t>VÄSTRA GÖTALANDS LÄN</t>
        </is>
      </c>
      <c r="G20" t="inlineStr">
        <is>
          <t>TIBRO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46283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46283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36404-2022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46283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44574</v>
      </c>
      <c r="E24" s="1" t="n">
        <v>46283</v>
      </c>
      <c r="F24" t="inlineStr">
        <is>
          <t>VÄSTRA GÖTALANDS LÄN</t>
        </is>
      </c>
      <c r="G24" t="inlineStr">
        <is>
          <t>TIBRO</t>
        </is>
      </c>
      <c r="I24" t="n">
        <v>23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46707-2022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46283</v>
      </c>
      <c r="F25" t="inlineStr">
        <is>
          <t>VÄSTRA GÖTALANDS LÄN</t>
        </is>
      </c>
      <c r="G25" t="inlineStr">
        <is>
          <t>TIBRO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46283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46283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65095-2021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46283</v>
      </c>
      <c r="F28" t="inlineStr">
        <is>
          <t>VÄSTRA GÖTALANDS LÄN</t>
        </is>
      </c>
      <c r="G28" t="inlineStr">
        <is>
          <t>TIBRO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61986-2021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44502</v>
      </c>
      <c r="E29" s="1" t="n">
        <v>46283</v>
      </c>
      <c r="F29" t="inlineStr">
        <is>
          <t>VÄSTRA GÖTALANDS LÄN</t>
        </is>
      </c>
      <c r="G29" t="inlineStr">
        <is>
          <t>TIBRO</t>
        </is>
      </c>
      <c r="H29" t="inlineStr">
        <is>
          <t>Kommuner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53179-2023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46283</v>
      </c>
      <c r="F30" t="inlineStr">
        <is>
          <t>VÄSTRA GÖTALANDS LÄN</t>
        </is>
      </c>
      <c r="G30" t="inlineStr">
        <is>
          <t>TIBRO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65114-2021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44515</v>
      </c>
      <c r="E31" s="1" t="n">
        <v>46283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46283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58365-2022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44901</v>
      </c>
      <c r="E33" s="1" t="n">
        <v>46283</v>
      </c>
      <c r="F33" t="inlineStr">
        <is>
          <t>VÄSTRA GÖTALANDS LÄN</t>
        </is>
      </c>
      <c r="G33" t="inlineStr">
        <is>
          <t>TIBRO</t>
        </is>
      </c>
      <c r="I33" t="n">
        <v>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45239</v>
      </c>
      <c r="E34" s="1" t="n">
        <v>46283</v>
      </c>
      <c r="F34" t="inlineStr">
        <is>
          <t>VÄSTRA GÖTALANDS LÄN</t>
        </is>
      </c>
      <c r="G34" t="inlineStr">
        <is>
          <t>TIBRO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2761-2023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44944</v>
      </c>
      <c r="E35" s="1" t="n">
        <v>46283</v>
      </c>
      <c r="F35" t="inlineStr">
        <is>
          <t>VÄSTRA GÖTALANDS LÄN</t>
        </is>
      </c>
      <c r="G35" t="inlineStr">
        <is>
          <t>TIBRO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46283</v>
      </c>
      <c r="F36" t="inlineStr">
        <is>
          <t>VÄSTRA GÖTALANDS LÄN</t>
        </is>
      </c>
      <c r="G36" t="inlineStr">
        <is>
          <t>TIBRO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46283</v>
      </c>
      <c r="F37" t="inlineStr">
        <is>
          <t>VÄSTRA GÖTALANDS LÄN</t>
        </is>
      </c>
      <c r="G37" t="inlineStr">
        <is>
          <t>TIBRO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33522-2024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45519</v>
      </c>
      <c r="E38" s="1" t="n">
        <v>46283</v>
      </c>
      <c r="F38" t="inlineStr">
        <is>
          <t>VÄSTRA GÖTALANDS LÄN</t>
        </is>
      </c>
      <c r="G38" t="inlineStr">
        <is>
          <t>TIBRO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47649-2023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45203</v>
      </c>
      <c r="E39" s="1" t="n">
        <v>46283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40671-2024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45558</v>
      </c>
      <c r="E40" s="1" t="n">
        <v>46283</v>
      </c>
      <c r="F40" t="inlineStr">
        <is>
          <t>VÄSTRA GÖTALANDS LÄN</t>
        </is>
      </c>
      <c r="G40" t="inlineStr">
        <is>
          <t>TIBRO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44574</v>
      </c>
      <c r="E41" s="1" t="n">
        <v>46283</v>
      </c>
      <c r="F41" t="inlineStr">
        <is>
          <t>VÄSTRA GÖTALANDS LÄN</t>
        </is>
      </c>
      <c r="G41" t="inlineStr">
        <is>
          <t>TIBRO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21738-2023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45063</v>
      </c>
      <c r="E42" s="1" t="n">
        <v>46283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45820</v>
      </c>
      <c r="E43" s="1" t="n">
        <v>46283</v>
      </c>
      <c r="F43" t="inlineStr">
        <is>
          <t>VÄSTRA GÖTALANDS LÄN</t>
        </is>
      </c>
      <c r="G43" t="inlineStr">
        <is>
          <t>TIBRO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44922</v>
      </c>
      <c r="E44" s="1" t="n">
        <v>46283</v>
      </c>
      <c r="F44" t="inlineStr">
        <is>
          <t>VÄSTRA GÖTALANDS LÄN</t>
        </is>
      </c>
      <c r="G44" t="inlineStr">
        <is>
          <t>TIBRO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46283</v>
      </c>
      <c r="F45" t="inlineStr">
        <is>
          <t>VÄSTRA GÖTALANDS LÄN</t>
        </is>
      </c>
      <c r="G45" t="inlineStr">
        <is>
          <t>TIBRO</t>
        </is>
      </c>
      <c r="H45" t="inlineStr">
        <is>
          <t>Sveaskog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46283</v>
      </c>
      <c r="F46" t="inlineStr">
        <is>
          <t>VÄSTRA GÖTALANDS LÄN</t>
        </is>
      </c>
      <c r="G46" t="inlineStr">
        <is>
          <t>TIBRO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44960</v>
      </c>
      <c r="E47" s="1" t="n">
        <v>46283</v>
      </c>
      <c r="F47" t="inlineStr">
        <is>
          <t>VÄSTRA GÖTALANDS LÄN</t>
        </is>
      </c>
      <c r="G47" t="inlineStr">
        <is>
          <t>TIBRO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17150-2023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45034</v>
      </c>
      <c r="E48" s="1" t="n">
        <v>46283</v>
      </c>
      <c r="F48" t="inlineStr">
        <is>
          <t>VÄSTRA GÖTALANDS LÄN</t>
        </is>
      </c>
      <c r="G48" t="inlineStr">
        <is>
          <t>TIBRO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46112</v>
      </c>
      <c r="E49" s="1" t="n">
        <v>46283</v>
      </c>
      <c r="F49" t="inlineStr">
        <is>
          <t>VÄSTRA GÖTALANDS LÄN</t>
        </is>
      </c>
      <c r="G49" t="inlineStr">
        <is>
          <t>TIBRO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46283</v>
      </c>
      <c r="F50" t="inlineStr">
        <is>
          <t>VÄSTRA GÖTALANDS LÄN</t>
        </is>
      </c>
      <c r="G50" t="inlineStr">
        <is>
          <t>TIBRO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18004-2026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46283</v>
      </c>
      <c r="F51" t="inlineStr">
        <is>
          <t>VÄSTRA GÖTALANDS LÄN</t>
        </is>
      </c>
      <c r="G51" t="inlineStr">
        <is>
          <t>TIBRO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46283</v>
      </c>
      <c r="F52" t="inlineStr">
        <is>
          <t>VÄSTRA GÖTALANDS LÄN</t>
        </is>
      </c>
      <c r="G52" t="inlineStr">
        <is>
          <t>TIBRO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22789-2022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44715</v>
      </c>
      <c r="E53" s="1" t="n">
        <v>46283</v>
      </c>
      <c r="F53" t="inlineStr">
        <is>
          <t>VÄSTRA GÖTALANDS LÄN</t>
        </is>
      </c>
      <c r="G53" t="inlineStr">
        <is>
          <t>TIBRO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52631-2024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46283</v>
      </c>
      <c r="F54" t="inlineStr">
        <is>
          <t>VÄSTRA GÖTALANDS LÄN</t>
        </is>
      </c>
      <c r="G54" t="inlineStr">
        <is>
          <t>TIBRO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41130-2025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45898</v>
      </c>
      <c r="E55" s="1" t="n">
        <v>46283</v>
      </c>
      <c r="F55" t="inlineStr">
        <is>
          <t>VÄSTRA GÖTALANDS LÄN</t>
        </is>
      </c>
      <c r="G55" t="inlineStr">
        <is>
          <t>TIBRO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45177</v>
      </c>
      <c r="E56" s="1" t="n">
        <v>46283</v>
      </c>
      <c r="F56" t="inlineStr">
        <is>
          <t>VÄSTRA GÖTALANDS LÄN</t>
        </is>
      </c>
      <c r="G56" t="inlineStr">
        <is>
          <t>TIBRO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46283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46283</v>
      </c>
      <c r="F58" t="inlineStr">
        <is>
          <t>VÄSTRA GÖTALANDS LÄN</t>
        </is>
      </c>
      <c r="G58" t="inlineStr">
        <is>
          <t>TIBRO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46283</v>
      </c>
      <c r="F59" t="inlineStr">
        <is>
          <t>VÄSTRA GÖTALANDS LÄN</t>
        </is>
      </c>
      <c r="G59" t="inlineStr">
        <is>
          <t>TIBRO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506-2023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44930</v>
      </c>
      <c r="E60" s="1" t="n">
        <v>46283</v>
      </c>
      <c r="F60" t="inlineStr">
        <is>
          <t>VÄSTRA GÖTALANDS LÄN</t>
        </is>
      </c>
      <c r="G60" t="inlineStr">
        <is>
          <t>TIBRO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44929</v>
      </c>
      <c r="E61" s="1" t="n">
        <v>46283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46283</v>
      </c>
      <c r="F62" t="inlineStr">
        <is>
          <t>VÄSTRA GÖTALANDS LÄN</t>
        </is>
      </c>
      <c r="G62" t="inlineStr">
        <is>
          <t>TIBRO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9954-2025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46283</v>
      </c>
      <c r="F63" t="inlineStr">
        <is>
          <t>VÄSTRA GÖTALANDS LÄN</t>
        </is>
      </c>
      <c r="G63" t="inlineStr">
        <is>
          <t>TIBRO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22418-2025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45786</v>
      </c>
      <c r="E64" s="1" t="n">
        <v>46283</v>
      </c>
      <c r="F64" t="inlineStr">
        <is>
          <t>VÄSTRA GÖTALANDS LÄN</t>
        </is>
      </c>
      <c r="G64" t="inlineStr">
        <is>
          <t>TIBRO</t>
        </is>
      </c>
      <c r="H64" t="inlineStr">
        <is>
          <t>Kyrkan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46283</v>
      </c>
      <c r="F65" t="inlineStr">
        <is>
          <t>VÄSTRA GÖTALANDS LÄN</t>
        </is>
      </c>
      <c r="G65" t="inlineStr">
        <is>
          <t>TIBRO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45249</v>
      </c>
      <c r="E66" s="1" t="n">
        <v>46283</v>
      </c>
      <c r="F66" t="inlineStr">
        <is>
          <t>VÄSTRA GÖTALANDS LÄN</t>
        </is>
      </c>
      <c r="G66" t="inlineStr">
        <is>
          <t>TIBRO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45757</v>
      </c>
      <c r="E67" s="1" t="n">
        <v>46283</v>
      </c>
      <c r="F67" t="inlineStr">
        <is>
          <t>VÄSTRA GÖTALANDS LÄN</t>
        </is>
      </c>
      <c r="G67" t="inlineStr">
        <is>
          <t>TIBRO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46283</v>
      </c>
      <c r="F68" t="inlineStr">
        <is>
          <t>VÄSTRA GÖTALANDS LÄN</t>
        </is>
      </c>
      <c r="G68" t="inlineStr">
        <is>
          <t>TIBRO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45203</v>
      </c>
      <c r="E69" s="1" t="n">
        <v>46283</v>
      </c>
      <c r="F69" t="inlineStr">
        <is>
          <t>VÄSTRA GÖTALANDS LÄN</t>
        </is>
      </c>
      <c r="G69" t="inlineStr">
        <is>
          <t>TIBRO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46283</v>
      </c>
      <c r="F70" t="inlineStr">
        <is>
          <t>VÄSTRA GÖTALANDS LÄN</t>
        </is>
      </c>
      <c r="G70" t="inlineStr">
        <is>
          <t>TIBRO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21403-2026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46146</v>
      </c>
      <c r="E71" s="1" t="n">
        <v>46283</v>
      </c>
      <c r="F71" t="inlineStr">
        <is>
          <t>VÄSTRA GÖTALANDS LÄN</t>
        </is>
      </c>
      <c r="G71" t="inlineStr">
        <is>
          <t>TIBRO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46283</v>
      </c>
      <c r="F72" t="inlineStr">
        <is>
          <t>VÄSTRA GÖTALANDS LÄN</t>
        </is>
      </c>
      <c r="G72" t="inlineStr">
        <is>
          <t>TIBRO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45580</v>
      </c>
      <c r="E73" s="1" t="n">
        <v>46283</v>
      </c>
      <c r="F73" t="inlineStr">
        <is>
          <t>VÄSTRA GÖTALANDS LÄN</t>
        </is>
      </c>
      <c r="G73" t="inlineStr">
        <is>
          <t>TIBRO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35048-2024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45527</v>
      </c>
      <c r="E74" s="1" t="n">
        <v>46283</v>
      </c>
      <c r="F74" t="inlineStr">
        <is>
          <t>VÄSTRA GÖTALANDS LÄN</t>
        </is>
      </c>
      <c r="G74" t="inlineStr">
        <is>
          <t>TIBRO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46283</v>
      </c>
      <c r="F75" t="inlineStr">
        <is>
          <t>VÄSTRA GÖTALANDS LÄN</t>
        </is>
      </c>
      <c r="G75" t="inlineStr">
        <is>
          <t>TIBRO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46283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46283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46283</v>
      </c>
      <c r="F78" t="inlineStr">
        <is>
          <t>VÄSTRA GÖTALANDS LÄN</t>
        </is>
      </c>
      <c r="G78" t="inlineStr">
        <is>
          <t>TIBRO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46283</v>
      </c>
      <c r="F79" t="inlineStr">
        <is>
          <t>VÄSTRA GÖTALANDS LÄN</t>
        </is>
      </c>
      <c r="G79" t="inlineStr">
        <is>
          <t>TIBRO</t>
        </is>
      </c>
      <c r="H79" t="inlineStr">
        <is>
          <t>Kommuner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15684-2023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45021</v>
      </c>
      <c r="E80" s="1" t="n">
        <v>46283</v>
      </c>
      <c r="F80" t="inlineStr">
        <is>
          <t>VÄSTRA GÖTALANDS LÄN</t>
        </is>
      </c>
      <c r="G80" t="inlineStr">
        <is>
          <t>TIBRO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53651-2025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46283</v>
      </c>
      <c r="F81" t="inlineStr">
        <is>
          <t>VÄSTRA GÖTALANDS LÄN</t>
        </is>
      </c>
      <c r="G81" t="inlineStr">
        <is>
          <t>TIBRO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46195</v>
      </c>
      <c r="E82" s="1" t="n">
        <v>46283</v>
      </c>
      <c r="F82" t="inlineStr">
        <is>
          <t>VÄSTRA GÖTALANDS LÄN</t>
        </is>
      </c>
      <c r="G82" t="inlineStr">
        <is>
          <t>TIBRO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45194</v>
      </c>
      <c r="E83" s="1" t="n">
        <v>46283</v>
      </c>
      <c r="F83" t="inlineStr">
        <is>
          <t>VÄSTRA GÖTALANDS LÄN</t>
        </is>
      </c>
      <c r="G83" t="inlineStr">
        <is>
          <t>TIBRO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54948-2024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45619</v>
      </c>
      <c r="E84" s="1" t="n">
        <v>46283</v>
      </c>
      <c r="F84" t="inlineStr">
        <is>
          <t>VÄSTRA GÖTALANDS LÄN</t>
        </is>
      </c>
      <c r="G84" t="inlineStr">
        <is>
          <t>TIBRO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46283</v>
      </c>
      <c r="F85" t="inlineStr">
        <is>
          <t>VÄSTRA GÖTALANDS LÄN</t>
        </is>
      </c>
      <c r="G85" t="inlineStr">
        <is>
          <t>TIBRO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46283</v>
      </c>
      <c r="F86" t="inlineStr">
        <is>
          <t>VÄSTRA GÖTALANDS LÄN</t>
        </is>
      </c>
      <c r="G86" t="inlineStr">
        <is>
          <t>TIBRO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20813-2026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46283</v>
      </c>
      <c r="F87" t="inlineStr">
        <is>
          <t>VÄSTRA GÖTALANDS LÄN</t>
        </is>
      </c>
      <c r="G87" t="inlineStr">
        <is>
          <t>TIBRO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47903-2025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45932</v>
      </c>
      <c r="E88" s="1" t="n">
        <v>46283</v>
      </c>
      <c r="F88" t="inlineStr">
        <is>
          <t>VÄSTRA GÖTALANDS LÄN</t>
        </is>
      </c>
      <c r="G88" t="inlineStr">
        <is>
          <t>TIBRO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46283</v>
      </c>
      <c r="F89" t="inlineStr">
        <is>
          <t>VÄSTRA GÖTALANDS LÄN</t>
        </is>
      </c>
      <c r="G89" t="inlineStr">
        <is>
          <t>TIBRO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37090-2026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46273</v>
      </c>
      <c r="E90" s="1" t="n">
        <v>46283</v>
      </c>
      <c r="F90" t="inlineStr">
        <is>
          <t>VÄSTRA GÖTALANDS LÄN</t>
        </is>
      </c>
      <c r="G90" t="inlineStr">
        <is>
          <t>TIBRO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46283</v>
      </c>
      <c r="F91" t="inlineStr">
        <is>
          <t>VÄSTRA GÖTALANDS LÄN</t>
        </is>
      </c>
      <c r="G91" t="inlineStr">
        <is>
          <t>TIBRO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46283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46283</v>
      </c>
      <c r="F93" t="inlineStr">
        <is>
          <t>VÄSTRA GÖTALANDS LÄN</t>
        </is>
      </c>
      <c r="G93" t="inlineStr">
        <is>
          <t>TIBRO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46283</v>
      </c>
      <c r="F94" t="inlineStr">
        <is>
          <t>VÄSTRA GÖTALANDS LÄN</t>
        </is>
      </c>
      <c r="G94" t="inlineStr">
        <is>
          <t>TIBRO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46281</v>
      </c>
      <c r="E95" s="1" t="n">
        <v>46283</v>
      </c>
      <c r="F95" t="inlineStr">
        <is>
          <t>VÄSTRA GÖTALANDS LÄN</t>
        </is>
      </c>
      <c r="G95" t="inlineStr">
        <is>
          <t>TIBRO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38205-2026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46281</v>
      </c>
      <c r="E96" s="1" t="n">
        <v>46283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45054-2023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46283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44755</v>
      </c>
      <c r="E98" s="1" t="n">
        <v>46283</v>
      </c>
      <c r="F98" t="inlineStr">
        <is>
          <t>VÄSTRA GÖTALANDS LÄN</t>
        </is>
      </c>
      <c r="G98" t="inlineStr">
        <is>
          <t>TIBRO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45591</v>
      </c>
      <c r="E99" s="1" t="n">
        <v>46283</v>
      </c>
      <c r="F99" t="inlineStr">
        <is>
          <t>VÄSTRA GÖTALANDS LÄN</t>
        </is>
      </c>
      <c r="G99" t="inlineStr">
        <is>
          <t>TIBRO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46282</v>
      </c>
      <c r="E100" s="1" t="n">
        <v>46283</v>
      </c>
      <c r="F100" t="inlineStr">
        <is>
          <t>VÄSTRA GÖTALANDS LÄN</t>
        </is>
      </c>
      <c r="G100" t="inlineStr">
        <is>
          <t>TIBRO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46283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46283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46283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38203-2026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46283</v>
      </c>
      <c r="F104" t="inlineStr">
        <is>
          <t>VÄSTRA GÖTALANDS LÄN</t>
        </is>
      </c>
      <c r="G104" t="inlineStr">
        <is>
          <t>TIBRO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46283</v>
      </c>
      <c r="F105" t="inlineStr">
        <is>
          <t>VÄSTRA GÖTALANDS LÄN</t>
        </is>
      </c>
      <c r="G105" t="inlineStr">
        <is>
          <t>TIBRO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19384-2023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45049</v>
      </c>
      <c r="E106" s="1" t="n">
        <v>46283</v>
      </c>
      <c r="F106" t="inlineStr">
        <is>
          <t>VÄSTRA GÖTALANDS LÄN</t>
        </is>
      </c>
      <c r="G106" t="inlineStr">
        <is>
          <t>TIBRO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46283</v>
      </c>
      <c r="F107" t="inlineStr">
        <is>
          <t>VÄSTRA GÖTALANDS LÄN</t>
        </is>
      </c>
      <c r="G107" t="inlineStr">
        <is>
          <t>TIBRO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44929</v>
      </c>
      <c r="E108" s="1" t="n">
        <v>46283</v>
      </c>
      <c r="F108" t="inlineStr">
        <is>
          <t>VÄSTRA GÖTALANDS LÄN</t>
        </is>
      </c>
      <c r="G108" t="inlineStr">
        <is>
          <t>TIBRO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46283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46283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14383-2024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45394</v>
      </c>
      <c r="E111" s="1" t="n">
        <v>46283</v>
      </c>
      <c r="F111" t="inlineStr">
        <is>
          <t>VÄSTRA GÖTALANDS LÄN</t>
        </is>
      </c>
      <c r="G111" t="inlineStr">
        <is>
          <t>TIBRO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45324</v>
      </c>
      <c r="E112" s="1" t="n">
        <v>46283</v>
      </c>
      <c r="F112" t="inlineStr">
        <is>
          <t>VÄSTRA GÖTALANDS LÄN</t>
        </is>
      </c>
      <c r="G112" t="inlineStr">
        <is>
          <t>TIBRO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10737-2023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44984</v>
      </c>
      <c r="E113" s="1" t="n">
        <v>46283</v>
      </c>
      <c r="F113" t="inlineStr">
        <is>
          <t>VÄSTRA GÖTALANDS LÄN</t>
        </is>
      </c>
      <c r="G113" t="inlineStr">
        <is>
          <t>TIBRO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46283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46283</v>
      </c>
      <c r="F115" t="inlineStr">
        <is>
          <t>VÄSTRA GÖTALANDS LÄN</t>
        </is>
      </c>
      <c r="G115" t="inlineStr">
        <is>
          <t>TIBRO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46283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44979</v>
      </c>
      <c r="E117" s="1" t="n">
        <v>46283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46283</v>
      </c>
      <c r="F118" t="inlineStr">
        <is>
          <t>VÄSTRA GÖTALANDS LÄN</t>
        </is>
      </c>
      <c r="G118" t="inlineStr">
        <is>
          <t>TIBRO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45680</v>
      </c>
      <c r="E119" s="1" t="n">
        <v>46283</v>
      </c>
      <c r="F119" t="inlineStr">
        <is>
          <t>VÄSTRA GÖTALANDS LÄN</t>
        </is>
      </c>
      <c r="G119" t="inlineStr">
        <is>
          <t>TIBRO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46283</v>
      </c>
      <c r="F120" t="inlineStr">
        <is>
          <t>VÄSTRA GÖTALANDS LÄN</t>
        </is>
      </c>
      <c r="G120" t="inlineStr">
        <is>
          <t>TIBRO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8450-2025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45709</v>
      </c>
      <c r="E121" s="1" t="n">
        <v>46283</v>
      </c>
      <c r="F121" t="inlineStr">
        <is>
          <t>VÄSTRA GÖTALANDS LÄN</t>
        </is>
      </c>
      <c r="G121" t="inlineStr">
        <is>
          <t>TIBRO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45666</v>
      </c>
      <c r="E122" s="1" t="n">
        <v>46283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45579</v>
      </c>
      <c r="E123" s="1" t="n">
        <v>46283</v>
      </c>
      <c r="F123" t="inlineStr">
        <is>
          <t>VÄSTRA GÖTALANDS LÄN</t>
        </is>
      </c>
      <c r="G123" t="inlineStr">
        <is>
          <t>TIBRO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45720</v>
      </c>
      <c r="E124" s="1" t="n">
        <v>46283</v>
      </c>
      <c r="F124" t="inlineStr">
        <is>
          <t>VÄSTRA GÖTALANDS LÄN</t>
        </is>
      </c>
      <c r="G124" t="inlineStr">
        <is>
          <t>TIBRO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46283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3719-2023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45222</v>
      </c>
      <c r="E126" s="1" t="n">
        <v>46283</v>
      </c>
      <c r="F126" t="inlineStr">
        <is>
          <t>VÄSTRA GÖTALANDS LÄN</t>
        </is>
      </c>
      <c r="G126" t="inlineStr">
        <is>
          <t>TIBRO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2026-09-18T02:01:52Z</dcterms:created>
  <dcterms:modified xmlns:dcterms="http://purl.org/dc/terms/" xmlns:xsi="http://www.w3.org/2001/XMLSchema-instance" xsi:type="dcterms:W3CDTF">2026-09-18T02:01:52Z</dcterms:modified>
</cp:coreProperties>
</file>