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46190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29819-2025</t>
        </is>
      </c>
      <c r="B4" s="1" t="n">
        <v>45825.84666666666</v>
      </c>
      <c r="C4" s="1" t="n">
        <v>46190</v>
      </c>
      <c r="D4" t="inlineStr">
        <is>
          <t>VÄSTRA GÖTALANDS LÄN</t>
        </is>
      </c>
      <c r="E4" t="inlineStr">
        <is>
          <t>TIBRO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HYPERLINK("https://klasma.github.io/Logging_1472/artfynd/A 29819-2025 artfynd.xlsx", "A 29819-2025")</f>
        <v/>
      </c>
      <c r="T4">
        <f>HYPERLINK("https://klasma.github.io/Logging_1472/kartor/A 29819-2025 karta.png", "A 29819-2025")</f>
        <v/>
      </c>
      <c r="V4">
        <f>HYPERLINK("https://klasma.github.io/Logging_1472/klagomål/A 29819-2025 FSC-klagomål.docx", "A 29819-2025")</f>
        <v/>
      </c>
      <c r="W4">
        <f>HYPERLINK("https://klasma.github.io/Logging_1472/klagomålsmail/A 29819-2025 FSC-klagomål mail.docx", "A 29819-2025")</f>
        <v/>
      </c>
      <c r="X4">
        <f>HYPERLINK("https://klasma.github.io/Logging_1472/tillsyn/A 29819-2025 tillsynsbegäran.docx", "A 29819-2025")</f>
        <v/>
      </c>
      <c r="Y4">
        <f>HYPERLINK("https://klasma.github.io/Logging_1472/tillsynsmail/A 29819-2025 tillsynsbegäran mail.docx", "A 29819-2025")</f>
        <v/>
      </c>
      <c r="Z4">
        <f>HYPERLINK("https://klasma.github.io/Logging_1472/fåglar/A 29819-2025 prioriterade fågelarter.docx", "A 29819-2025")</f>
        <v/>
      </c>
    </row>
    <row r="5" ht="15" customHeight="1">
      <c r="A5" t="inlineStr">
        <is>
          <t>A 6870-2022</t>
        </is>
      </c>
      <c r="B5" s="1" t="n">
        <v>44602</v>
      </c>
      <c r="C5" s="1" t="n">
        <v>46190</v>
      </c>
      <c r="D5" t="inlineStr">
        <is>
          <t>VÄSTRA GÖTALANDS LÄN</t>
        </is>
      </c>
      <c r="E5" t="inlineStr">
        <is>
          <t>TIBRO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48904-2021</t>
        </is>
      </c>
      <c r="B6" s="1" t="n">
        <v>44453</v>
      </c>
      <c r="C6" s="1" t="n">
        <v>46190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37242-2021</t>
        </is>
      </c>
      <c r="B7" s="1" t="n">
        <v>44396</v>
      </c>
      <c r="C7" s="1" t="n">
        <v>46190</v>
      </c>
      <c r="D7" t="inlineStr">
        <is>
          <t>VÄSTRA GÖTALANDS LÄN</t>
        </is>
      </c>
      <c r="E7" t="inlineStr">
        <is>
          <t>TIBRO</t>
        </is>
      </c>
      <c r="G7" t="n">
        <v>10.3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37243-2021</t>
        </is>
      </c>
      <c r="B8" s="1" t="n">
        <v>44396</v>
      </c>
      <c r="C8" s="1" t="n">
        <v>46190</v>
      </c>
      <c r="D8" t="inlineStr">
        <is>
          <t>VÄSTRA GÖTALANDS LÄN</t>
        </is>
      </c>
      <c r="E8" t="inlineStr">
        <is>
          <t>TIBRO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25943-2022</t>
        </is>
      </c>
      <c r="B9" s="1" t="n">
        <v>44734</v>
      </c>
      <c r="C9" s="1" t="n">
        <v>46190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6871-2022</t>
        </is>
      </c>
      <c r="B10" s="1" t="n">
        <v>44602.74396990741</v>
      </c>
      <c r="C10" s="1" t="n">
        <v>46190</v>
      </c>
      <c r="D10" t="inlineStr">
        <is>
          <t>VÄSTRA GÖTALANDS LÄN</t>
        </is>
      </c>
      <c r="E10" t="inlineStr">
        <is>
          <t>TIBRO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6800-2022</t>
        </is>
      </c>
      <c r="B11" s="1" t="n">
        <v>44602.57005787037</v>
      </c>
      <c r="C11" s="1" t="n">
        <v>46190</v>
      </c>
      <c r="D11" t="inlineStr">
        <is>
          <t>VÄSTRA GÖTALANDS LÄN</t>
        </is>
      </c>
      <c r="E11" t="inlineStr">
        <is>
          <t>TIBRO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10328-2022</t>
        </is>
      </c>
      <c r="B12" s="1" t="n">
        <v>44623</v>
      </c>
      <c r="C12" s="1" t="n">
        <v>46190</v>
      </c>
      <c r="D12" t="inlineStr">
        <is>
          <t>VÄSTRA GÖTALANDS LÄN</t>
        </is>
      </c>
      <c r="E12" t="inlineStr">
        <is>
          <t>TIBRO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6822-2022</t>
        </is>
      </c>
      <c r="B13" s="1" t="n">
        <v>44602</v>
      </c>
      <c r="C13" s="1" t="n">
        <v>46190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36402-2022</t>
        </is>
      </c>
      <c r="B14" s="1" t="n">
        <v>44804</v>
      </c>
      <c r="C14" s="1" t="n">
        <v>46190</v>
      </c>
      <c r="D14" t="inlineStr">
        <is>
          <t>VÄSTRA GÖTALANDS LÄN</t>
        </is>
      </c>
      <c r="E14" t="inlineStr">
        <is>
          <t>TIBRO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64871-2021</t>
        </is>
      </c>
      <c r="B15" s="1" t="n">
        <v>44512</v>
      </c>
      <c r="C15" s="1" t="n">
        <v>46190</v>
      </c>
      <c r="D15" t="inlineStr">
        <is>
          <t>VÄSTRA GÖTALANDS LÄN</t>
        </is>
      </c>
      <c r="E15" t="inlineStr">
        <is>
          <t>TIBRO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23080-2022</t>
        </is>
      </c>
      <c r="B16" s="1" t="n">
        <v>44715</v>
      </c>
      <c r="C16" s="1" t="n">
        <v>46190</v>
      </c>
      <c r="D16" t="inlineStr">
        <is>
          <t>VÄSTRA GÖTALANDS LÄN</t>
        </is>
      </c>
      <c r="E16" t="inlineStr">
        <is>
          <t>TIBRO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65112-2021</t>
        </is>
      </c>
      <c r="B17" s="1" t="n">
        <v>44515.4119212963</v>
      </c>
      <c r="C17" s="1" t="n">
        <v>46190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36404-2022</t>
        </is>
      </c>
      <c r="B18" s="1" t="n">
        <v>44804</v>
      </c>
      <c r="C18" s="1" t="n">
        <v>46190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1882-2022</t>
        </is>
      </c>
      <c r="B19" s="1" t="n">
        <v>44574</v>
      </c>
      <c r="C19" s="1" t="n">
        <v>46190</v>
      </c>
      <c r="D19" t="inlineStr">
        <is>
          <t>VÄSTRA GÖTALANDS LÄN</t>
        </is>
      </c>
      <c r="E19" t="inlineStr">
        <is>
          <t>TIBRO</t>
        </is>
      </c>
      <c r="G19" t="n">
        <v>23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46707-2022</t>
        </is>
      </c>
      <c r="B20" s="1" t="n">
        <v>44851.38383101852</v>
      </c>
      <c r="C20" s="1" t="n">
        <v>46190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495-2022</t>
        </is>
      </c>
      <c r="B21" s="1" t="n">
        <v>44566.46680555555</v>
      </c>
      <c r="C21" s="1" t="n">
        <v>46190</v>
      </c>
      <c r="D21" t="inlineStr">
        <is>
          <t>VÄSTRA GÖTALANDS LÄN</t>
        </is>
      </c>
      <c r="E21" t="inlineStr">
        <is>
          <t>TIBRO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496-2022</t>
        </is>
      </c>
      <c r="B22" s="1" t="n">
        <v>44566.46861111111</v>
      </c>
      <c r="C22" s="1" t="n">
        <v>46190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61986-2021</t>
        </is>
      </c>
      <c r="B23" s="1" t="n">
        <v>44502</v>
      </c>
      <c r="C23" s="1" t="n">
        <v>46190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37241-2021</t>
        </is>
      </c>
      <c r="B24" s="1" t="n">
        <v>44396</v>
      </c>
      <c r="C24" s="1" t="n">
        <v>46190</v>
      </c>
      <c r="D24" t="inlineStr">
        <is>
          <t>VÄSTRA GÖTALANDS LÄN</t>
        </is>
      </c>
      <c r="E24" t="inlineStr">
        <is>
          <t>TIBRO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53179-2023</t>
        </is>
      </c>
      <c r="B25" s="1" t="n">
        <v>45229.40875</v>
      </c>
      <c r="C25" s="1" t="n">
        <v>46190</v>
      </c>
      <c r="D25" t="inlineStr">
        <is>
          <t>VÄSTRA GÖTALANDS LÄN</t>
        </is>
      </c>
      <c r="E25" t="inlineStr">
        <is>
          <t>TIBRO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46190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62219-2022</t>
        </is>
      </c>
      <c r="B27" s="1" t="n">
        <v>44922.66564814815</v>
      </c>
      <c r="C27" s="1" t="n">
        <v>46190</v>
      </c>
      <c r="D27" t="inlineStr">
        <is>
          <t>VÄSTRA GÖTALANDS LÄN</t>
        </is>
      </c>
      <c r="E27" t="inlineStr">
        <is>
          <t>TIBRO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42048-2021</t>
        </is>
      </c>
      <c r="B28" s="1" t="n">
        <v>44426</v>
      </c>
      <c r="C28" s="1" t="n">
        <v>46190</v>
      </c>
      <c r="D28" t="inlineStr">
        <is>
          <t>VÄSTRA GÖTALANDS LÄN</t>
        </is>
      </c>
      <c r="E28" t="inlineStr">
        <is>
          <t>TIBRO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61975-2021</t>
        </is>
      </c>
      <c r="B29" s="1" t="n">
        <v>44502</v>
      </c>
      <c r="C29" s="1" t="n">
        <v>46190</v>
      </c>
      <c r="D29" t="inlineStr">
        <is>
          <t>VÄSTRA GÖTALANDS LÄN</t>
        </is>
      </c>
      <c r="E29" t="inlineStr">
        <is>
          <t>TIBRO</t>
        </is>
      </c>
      <c r="F29" t="inlineStr">
        <is>
          <t>Kommuner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47649-2023</t>
        </is>
      </c>
      <c r="B30" s="1" t="n">
        <v>45203</v>
      </c>
      <c r="C30" s="1" t="n">
        <v>46190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2761-2023</t>
        </is>
      </c>
      <c r="B31" s="1" t="n">
        <v>44944.61564814814</v>
      </c>
      <c r="C31" s="1" t="n">
        <v>46190</v>
      </c>
      <c r="D31" t="inlineStr">
        <is>
          <t>VÄSTRA GÖTALANDS LÄN</t>
        </is>
      </c>
      <c r="E31" t="inlineStr">
        <is>
          <t>TIBRO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46190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46190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46190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19306-2025</t>
        </is>
      </c>
      <c r="B35" s="1" t="n">
        <v>45769.56755787037</v>
      </c>
      <c r="C35" s="1" t="n">
        <v>46190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29822-2023</t>
        </is>
      </c>
      <c r="B36" s="1" t="n">
        <v>45107.56379629629</v>
      </c>
      <c r="C36" s="1" t="n">
        <v>46190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42016-2023</t>
        </is>
      </c>
      <c r="B37" s="1" t="n">
        <v>45177.47246527778</v>
      </c>
      <c r="C37" s="1" t="n">
        <v>46190</v>
      </c>
      <c r="D37" t="inlineStr">
        <is>
          <t>VÄSTRA GÖTALANDS LÄN</t>
        </is>
      </c>
      <c r="E37" t="inlineStr">
        <is>
          <t>TIBRO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46190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8969-2023</t>
        </is>
      </c>
      <c r="B39" s="1" t="n">
        <v>44979.50427083333</v>
      </c>
      <c r="C39" s="1" t="n">
        <v>46190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46190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46190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58150-2022</t>
        </is>
      </c>
      <c r="B42" s="1" t="n">
        <v>44900.7941087963</v>
      </c>
      <c r="C42" s="1" t="n">
        <v>46190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3572-2025</t>
        </is>
      </c>
      <c r="B43" s="1" t="n">
        <v>45680.71428240741</v>
      </c>
      <c r="C43" s="1" t="n">
        <v>46190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54412-2024</t>
        </is>
      </c>
      <c r="B44" s="1" t="n">
        <v>45617</v>
      </c>
      <c r="C44" s="1" t="n">
        <v>46190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10115-2023</t>
        </is>
      </c>
      <c r="B45" s="1" t="n">
        <v>44986.34202546296</v>
      </c>
      <c r="C45" s="1" t="n">
        <v>46190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15684-2023</t>
        </is>
      </c>
      <c r="B46" s="1" t="n">
        <v>45021</v>
      </c>
      <c r="C46" s="1" t="n">
        <v>46190</v>
      </c>
      <c r="D46" t="inlineStr">
        <is>
          <t>VÄSTRA GÖTALANDS LÄN</t>
        </is>
      </c>
      <c r="E46" t="inlineStr">
        <is>
          <t>TIBRO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41931-2024</t>
        </is>
      </c>
      <c r="B47" s="1" t="n">
        <v>45561.56418981482</v>
      </c>
      <c r="C47" s="1" t="n">
        <v>46190</v>
      </c>
      <c r="D47" t="inlineStr">
        <is>
          <t>VÄSTRA GÖTALANDS LÄN</t>
        </is>
      </c>
      <c r="E47" t="inlineStr">
        <is>
          <t>TIBRO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46190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46190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45665-2021</t>
        </is>
      </c>
      <c r="B50" s="1" t="n">
        <v>44441.32771990741</v>
      </c>
      <c r="C50" s="1" t="n">
        <v>46190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22827-2025</t>
        </is>
      </c>
      <c r="B51" s="1" t="n">
        <v>45789.84092592593</v>
      </c>
      <c r="C51" s="1" t="n">
        <v>46190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45599-2024</t>
        </is>
      </c>
      <c r="B52" s="1" t="n">
        <v>45579.43138888889</v>
      </c>
      <c r="C52" s="1" t="n">
        <v>46190</v>
      </c>
      <c r="D52" t="inlineStr">
        <is>
          <t>VÄSTRA GÖTALANDS LÄN</t>
        </is>
      </c>
      <c r="E52" t="inlineStr">
        <is>
          <t>TIBRO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8450-2025</t>
        </is>
      </c>
      <c r="B53" s="1" t="n">
        <v>45709.45519675926</v>
      </c>
      <c r="C53" s="1" t="n">
        <v>46190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5564-2023</t>
        </is>
      </c>
      <c r="B54" s="1" t="n">
        <v>44960</v>
      </c>
      <c r="C54" s="1" t="n">
        <v>46190</v>
      </c>
      <c r="D54" t="inlineStr">
        <is>
          <t>VÄSTRA GÖTALANDS LÄN</t>
        </is>
      </c>
      <c r="E54" t="inlineStr">
        <is>
          <t>TIBRO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10836-2023</t>
        </is>
      </c>
      <c r="B55" s="1" t="n">
        <v>44991</v>
      </c>
      <c r="C55" s="1" t="n">
        <v>46190</v>
      </c>
      <c r="D55" t="inlineStr">
        <is>
          <t>VÄSTRA GÖTALANDS LÄN</t>
        </is>
      </c>
      <c r="E55" t="inlineStr">
        <is>
          <t>TIBRO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418-2023</t>
        </is>
      </c>
      <c r="B56" s="1" t="n">
        <v>44929</v>
      </c>
      <c r="C56" s="1" t="n">
        <v>46190</v>
      </c>
      <c r="D56" t="inlineStr">
        <is>
          <t>VÄSTRA GÖTALANDS LÄN</t>
        </is>
      </c>
      <c r="E56" t="inlineStr">
        <is>
          <t>TIBRO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46190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10737-2023</t>
        </is>
      </c>
      <c r="B58" s="1" t="n">
        <v>44984</v>
      </c>
      <c r="C58" s="1" t="n">
        <v>46190</v>
      </c>
      <c r="D58" t="inlineStr">
        <is>
          <t>VÄSTRA GÖTALANDS LÄN</t>
        </is>
      </c>
      <c r="E58" t="inlineStr">
        <is>
          <t>TIBRO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52631-2024</t>
        </is>
      </c>
      <c r="B59" s="1" t="n">
        <v>45610.30113425926</v>
      </c>
      <c r="C59" s="1" t="n">
        <v>46190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10462-2025</t>
        </is>
      </c>
      <c r="B60" s="1" t="n">
        <v>45720.7705787037</v>
      </c>
      <c r="C60" s="1" t="n">
        <v>46190</v>
      </c>
      <c r="D60" t="inlineStr">
        <is>
          <t>VÄSTRA GÖTALANDS LÄN</t>
        </is>
      </c>
      <c r="E60" t="inlineStr">
        <is>
          <t>TIBRO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58101-2023</t>
        </is>
      </c>
      <c r="B61" s="1" t="n">
        <v>45249.38699074074</v>
      </c>
      <c r="C61" s="1" t="n">
        <v>46190</v>
      </c>
      <c r="D61" t="inlineStr">
        <is>
          <t>VÄSTRA GÖTALANDS LÄN</t>
        </is>
      </c>
      <c r="E61" t="inlineStr">
        <is>
          <t>TIBRO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10235-2023</t>
        </is>
      </c>
      <c r="B62" s="1" t="n">
        <v>44986.65542824074</v>
      </c>
      <c r="C62" s="1" t="n">
        <v>46190</v>
      </c>
      <c r="D62" t="inlineStr">
        <is>
          <t>VÄSTRA GÖTALANDS LÄN</t>
        </is>
      </c>
      <c r="E62" t="inlineStr">
        <is>
          <t>TIBRO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420-2023</t>
        </is>
      </c>
      <c r="B63" s="1" t="n">
        <v>44929</v>
      </c>
      <c r="C63" s="1" t="n">
        <v>46190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506-2023</t>
        </is>
      </c>
      <c r="B64" s="1" t="n">
        <v>44930</v>
      </c>
      <c r="C64" s="1" t="n">
        <v>46190</v>
      </c>
      <c r="D64" t="inlineStr">
        <is>
          <t>VÄSTRA GÖTALANDS LÄN</t>
        </is>
      </c>
      <c r="E64" t="inlineStr">
        <is>
          <t>TIBRO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16618-2025</t>
        </is>
      </c>
      <c r="B65" s="1" t="n">
        <v>45754.31761574074</v>
      </c>
      <c r="C65" s="1" t="n">
        <v>46190</v>
      </c>
      <c r="D65" t="inlineStr">
        <is>
          <t>VÄSTRA GÖTALANDS LÄN</t>
        </is>
      </c>
      <c r="E65" t="inlineStr">
        <is>
          <t>TIBRO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36868-2022</t>
        </is>
      </c>
      <c r="B66" s="1" t="n">
        <v>44805.6289699074</v>
      </c>
      <c r="C66" s="1" t="n">
        <v>46190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60264-2024</t>
        </is>
      </c>
      <c r="B67" s="1" t="n">
        <v>45642.8599537037</v>
      </c>
      <c r="C67" s="1" t="n">
        <v>46190</v>
      </c>
      <c r="D67" t="inlineStr">
        <is>
          <t>VÄSTRA GÖTALANDS LÄN</t>
        </is>
      </c>
      <c r="E67" t="inlineStr">
        <is>
          <t>TIBRO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53253-2023</t>
        </is>
      </c>
      <c r="B68" s="1" t="n">
        <v>45229.52552083333</v>
      </c>
      <c r="C68" s="1" t="n">
        <v>46190</v>
      </c>
      <c r="D68" t="inlineStr">
        <is>
          <t>VÄSTRA GÖTALANDS LÄN</t>
        </is>
      </c>
      <c r="E68" t="inlineStr">
        <is>
          <t>TIBRO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28703-2025</t>
        </is>
      </c>
      <c r="B69" s="1" t="n">
        <v>45820.23819444444</v>
      </c>
      <c r="C69" s="1" t="n">
        <v>46190</v>
      </c>
      <c r="D69" t="inlineStr">
        <is>
          <t>VÄSTRA GÖTALANDS LÄN</t>
        </is>
      </c>
      <c r="E69" t="inlineStr">
        <is>
          <t>TIBRO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39459-2023</t>
        </is>
      </c>
      <c r="B70" s="1" t="n">
        <v>45166.81715277778</v>
      </c>
      <c r="C70" s="1" t="n">
        <v>46190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62221-2022</t>
        </is>
      </c>
      <c r="B71" s="1" t="n">
        <v>44922</v>
      </c>
      <c r="C71" s="1" t="n">
        <v>46190</v>
      </c>
      <c r="D71" t="inlineStr">
        <is>
          <t>VÄSTRA GÖTALANDS LÄN</t>
        </is>
      </c>
      <c r="E71" t="inlineStr">
        <is>
          <t>TIBRO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55788-2023</t>
        </is>
      </c>
      <c r="B72" s="1" t="n">
        <v>45239</v>
      </c>
      <c r="C72" s="1" t="n">
        <v>46190</v>
      </c>
      <c r="D72" t="inlineStr">
        <is>
          <t>VÄSTRA GÖTALANDS LÄN</t>
        </is>
      </c>
      <c r="E72" t="inlineStr">
        <is>
          <t>TIBRO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14383-2024</t>
        </is>
      </c>
      <c r="B73" s="1" t="n">
        <v>45394</v>
      </c>
      <c r="C73" s="1" t="n">
        <v>46190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41130-2025</t>
        </is>
      </c>
      <c r="B74" s="1" t="n">
        <v>45898</v>
      </c>
      <c r="C74" s="1" t="n">
        <v>46190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19310-2025</t>
        </is>
      </c>
      <c r="B75" s="1" t="n">
        <v>45769.57109953704</v>
      </c>
      <c r="C75" s="1" t="n">
        <v>46190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53160-2023</t>
        </is>
      </c>
      <c r="B76" s="1" t="n">
        <v>45229.37484953704</v>
      </c>
      <c r="C76" s="1" t="n">
        <v>46190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2763-2023</t>
        </is>
      </c>
      <c r="B77" s="1" t="n">
        <v>44944.62079861111</v>
      </c>
      <c r="C77" s="1" t="n">
        <v>46190</v>
      </c>
      <c r="D77" t="inlineStr">
        <is>
          <t>VÄSTRA GÖTALANDS LÄN</t>
        </is>
      </c>
      <c r="E77" t="inlineStr">
        <is>
          <t>TIBRO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35048-2024</t>
        </is>
      </c>
      <c r="B78" s="1" t="n">
        <v>45527.64537037037</v>
      </c>
      <c r="C78" s="1" t="n">
        <v>46190</v>
      </c>
      <c r="D78" t="inlineStr">
        <is>
          <t>VÄSTRA GÖTALANDS LÄN</t>
        </is>
      </c>
      <c r="E78" t="inlineStr">
        <is>
          <t>TIBRO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6355-2024</t>
        </is>
      </c>
      <c r="B79" s="1" t="n">
        <v>45338.47413194444</v>
      </c>
      <c r="C79" s="1" t="n">
        <v>46190</v>
      </c>
      <c r="D79" t="inlineStr">
        <is>
          <t>VÄSTRA GÖTALANDS LÄN</t>
        </is>
      </c>
      <c r="E79" t="inlineStr">
        <is>
          <t>TIBRO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35055-2024</t>
        </is>
      </c>
      <c r="B80" s="1" t="n">
        <v>45527</v>
      </c>
      <c r="C80" s="1" t="n">
        <v>46190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58365-2022</t>
        </is>
      </c>
      <c r="B81" s="1" t="n">
        <v>44901.62020833333</v>
      </c>
      <c r="C81" s="1" t="n">
        <v>46190</v>
      </c>
      <c r="D81" t="inlineStr">
        <is>
          <t>VÄSTRA GÖTALANDS LÄN</t>
        </is>
      </c>
      <c r="E81" t="inlineStr">
        <is>
          <t>TIBRO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4316-2024</t>
        </is>
      </c>
      <c r="B82" s="1" t="n">
        <v>45324.65905092593</v>
      </c>
      <c r="C82" s="1" t="n">
        <v>46190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46190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56101-2025</t>
        </is>
      </c>
      <c r="B84" s="1" t="n">
        <v>45973.71033564815</v>
      </c>
      <c r="C84" s="1" t="n">
        <v>46190</v>
      </c>
      <c r="D84" t="inlineStr">
        <is>
          <t>VÄSTRA GÖTALANDS LÄN</t>
        </is>
      </c>
      <c r="E84" t="inlineStr">
        <is>
          <t>TIBRO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29648-2025</t>
        </is>
      </c>
      <c r="B85" s="1" t="n">
        <v>45825</v>
      </c>
      <c r="C85" s="1" t="n">
        <v>46190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7179-2023</t>
        </is>
      </c>
      <c r="B86" s="1" t="n">
        <v>44965</v>
      </c>
      <c r="C86" s="1" t="n">
        <v>46190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57527-2025</t>
        </is>
      </c>
      <c r="B87" s="1" t="n">
        <v>45980.63293981482</v>
      </c>
      <c r="C87" s="1" t="n">
        <v>46190</v>
      </c>
      <c r="D87" t="inlineStr">
        <is>
          <t>VÄSTRA GÖTALANDS LÄN</t>
        </is>
      </c>
      <c r="E87" t="inlineStr">
        <is>
          <t>TIBRO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46190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21738-2023</t>
        </is>
      </c>
      <c r="B89" s="1" t="n">
        <v>45063</v>
      </c>
      <c r="C89" s="1" t="n">
        <v>46190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45669-2023</t>
        </is>
      </c>
      <c r="B90" s="1" t="n">
        <v>45194.87333333334</v>
      </c>
      <c r="C90" s="1" t="n">
        <v>46190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33522-2024</t>
        </is>
      </c>
      <c r="B91" s="1" t="n">
        <v>45519</v>
      </c>
      <c r="C91" s="1" t="n">
        <v>46190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20430-2025</t>
        </is>
      </c>
      <c r="B92" s="1" t="n">
        <v>45775.47766203704</v>
      </c>
      <c r="C92" s="1" t="n">
        <v>46190</v>
      </c>
      <c r="D92" t="inlineStr">
        <is>
          <t>VÄSTRA GÖTALANDS LÄN</t>
        </is>
      </c>
      <c r="E92" t="inlineStr">
        <is>
          <t>TIBRO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45588-2022</t>
        </is>
      </c>
      <c r="B93" s="1" t="n">
        <v>44845.54098379629</v>
      </c>
      <c r="C93" s="1" t="n">
        <v>46190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61701-2025</t>
        </is>
      </c>
      <c r="B94" s="1" t="n">
        <v>46002.53532407407</v>
      </c>
      <c r="C94" s="1" t="n">
        <v>46190</v>
      </c>
      <c r="D94" t="inlineStr">
        <is>
          <t>VÄSTRA GÖTALANDS LÄN</t>
        </is>
      </c>
      <c r="E94" t="inlineStr">
        <is>
          <t>TIBRO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46190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17150-2023</t>
        </is>
      </c>
      <c r="B96" s="1" t="n">
        <v>45034</v>
      </c>
      <c r="C96" s="1" t="n">
        <v>46190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65114-2021</t>
        </is>
      </c>
      <c r="B97" s="1" t="n">
        <v>44515.41678240741</v>
      </c>
      <c r="C97" s="1" t="n">
        <v>46190</v>
      </c>
      <c r="D97" t="inlineStr">
        <is>
          <t>VÄSTRA GÖTALANDS LÄN</t>
        </is>
      </c>
      <c r="E97" t="inlineStr">
        <is>
          <t>TIBRO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62223-2022</t>
        </is>
      </c>
      <c r="B98" s="1" t="n">
        <v>44922.67252314815</v>
      </c>
      <c r="C98" s="1" t="n">
        <v>46190</v>
      </c>
      <c r="D98" t="inlineStr">
        <is>
          <t>VÄSTRA GÖTALANDS LÄN</t>
        </is>
      </c>
      <c r="E98" t="inlineStr">
        <is>
          <t>TIBRO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4002-2026</t>
        </is>
      </c>
      <c r="B99" s="1" t="n">
        <v>46044</v>
      </c>
      <c r="C99" s="1" t="n">
        <v>46190</v>
      </c>
      <c r="D99" t="inlineStr">
        <is>
          <t>VÄSTRA GÖTALANDS LÄN</t>
        </is>
      </c>
      <c r="E99" t="inlineStr">
        <is>
          <t>TIBRO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1878-2022</t>
        </is>
      </c>
      <c r="B100" s="1" t="n">
        <v>44574</v>
      </c>
      <c r="C100" s="1" t="n">
        <v>46190</v>
      </c>
      <c r="D100" t="inlineStr">
        <is>
          <t>VÄSTRA GÖTALANDS LÄN</t>
        </is>
      </c>
      <c r="E100" t="inlineStr">
        <is>
          <t>TIBRO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39211-2023</t>
        </is>
      </c>
      <c r="B101" s="1" t="n">
        <v>45166.41819444444</v>
      </c>
      <c r="C101" s="1" t="n">
        <v>46190</v>
      </c>
      <c r="D101" t="inlineStr">
        <is>
          <t>VÄSTRA GÖTALANDS LÄN</t>
        </is>
      </c>
      <c r="E101" t="inlineStr">
        <is>
          <t>TIBRO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7310-2026</t>
        </is>
      </c>
      <c r="B102" s="1" t="n">
        <v>46058.66219907408</v>
      </c>
      <c r="C102" s="1" t="n">
        <v>46190</v>
      </c>
      <c r="D102" t="inlineStr">
        <is>
          <t>VÄSTRA GÖTALANDS LÄN</t>
        </is>
      </c>
      <c r="E102" t="inlineStr">
        <is>
          <t>TIBRO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38792-2024</t>
        </is>
      </c>
      <c r="B103" s="1" t="n">
        <v>45547.48993055556</v>
      </c>
      <c r="C103" s="1" t="n">
        <v>46190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53651-2025</t>
        </is>
      </c>
      <c r="B104" s="1" t="n">
        <v>45960.52734953703</v>
      </c>
      <c r="C104" s="1" t="n">
        <v>46190</v>
      </c>
      <c r="D104" t="inlineStr">
        <is>
          <t>VÄSTRA GÖTALANDS LÄN</t>
        </is>
      </c>
      <c r="E104" t="inlineStr">
        <is>
          <t>TIBRO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59273-2023</t>
        </is>
      </c>
      <c r="B105" s="1" t="n">
        <v>45253.55516203704</v>
      </c>
      <c r="C105" s="1" t="n">
        <v>46190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45881-2024</t>
        </is>
      </c>
      <c r="B106" s="1" t="n">
        <v>45580</v>
      </c>
      <c r="C106" s="1" t="n">
        <v>46190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54449-2025</t>
        </is>
      </c>
      <c r="B107" s="1" t="n">
        <v>45965.54233796296</v>
      </c>
      <c r="C107" s="1" t="n">
        <v>46190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17611-2025</t>
        </is>
      </c>
      <c r="B108" s="1" t="n">
        <v>45757.79642361111</v>
      </c>
      <c r="C108" s="1" t="n">
        <v>46190</v>
      </c>
      <c r="D108" t="inlineStr">
        <is>
          <t>VÄSTRA GÖTALANDS LÄN</t>
        </is>
      </c>
      <c r="E108" t="inlineStr">
        <is>
          <t>TIBRO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19384-2023</t>
        </is>
      </c>
      <c r="B109" s="1" t="n">
        <v>45049</v>
      </c>
      <c r="C109" s="1" t="n">
        <v>46190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13616-2026</t>
        </is>
      </c>
      <c r="B110" s="1" t="n">
        <v>46097.34171296296</v>
      </c>
      <c r="C110" s="1" t="n">
        <v>46190</v>
      </c>
      <c r="D110" t="inlineStr">
        <is>
          <t>VÄSTRA GÖTALANDS LÄN</t>
        </is>
      </c>
      <c r="E110" t="inlineStr">
        <is>
          <t>TIBRO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13618-2026</t>
        </is>
      </c>
      <c r="B111" s="1" t="n">
        <v>46097.343125</v>
      </c>
      <c r="C111" s="1" t="n">
        <v>46190</v>
      </c>
      <c r="D111" t="inlineStr">
        <is>
          <t>VÄSTRA GÖTALANDS LÄN</t>
        </is>
      </c>
      <c r="E111" t="inlineStr">
        <is>
          <t>TIBRO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13617-2026</t>
        </is>
      </c>
      <c r="B112" s="1" t="n">
        <v>46097.34233796296</v>
      </c>
      <c r="C112" s="1" t="n">
        <v>46190</v>
      </c>
      <c r="D112" t="inlineStr">
        <is>
          <t>VÄSTRA GÖTALANDS LÄN</t>
        </is>
      </c>
      <c r="E112" t="inlineStr">
        <is>
          <t>TIBRO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60258-2024</t>
        </is>
      </c>
      <c r="B113" s="1" t="n">
        <v>45642</v>
      </c>
      <c r="C113" s="1" t="n">
        <v>46190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16586-2026</t>
        </is>
      </c>
      <c r="B114" s="1" t="n">
        <v>46112.58309027777</v>
      </c>
      <c r="C114" s="1" t="n">
        <v>46190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46190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6872-2022</t>
        </is>
      </c>
      <c r="B116" s="1" t="n">
        <v>44602.75136574074</v>
      </c>
      <c r="C116" s="1" t="n">
        <v>46190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58633-2023</t>
        </is>
      </c>
      <c r="B117" s="1" t="n">
        <v>45251.56759259259</v>
      </c>
      <c r="C117" s="1" t="n">
        <v>46190</v>
      </c>
      <c r="D117" t="inlineStr">
        <is>
          <t>VÄSTRA GÖTALANDS LÄN</t>
        </is>
      </c>
      <c r="E117" t="inlineStr">
        <is>
          <t>TIBRO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44755.45465277778</v>
      </c>
      <c r="C118" s="1" t="n">
        <v>46190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48510-2024</t>
        </is>
      </c>
      <c r="B119" s="1" t="n">
        <v>45591</v>
      </c>
      <c r="C119" s="1" t="n">
        <v>46190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18004-2026</t>
        </is>
      </c>
      <c r="B120" s="1" t="n">
        <v>46125.28390046296</v>
      </c>
      <c r="C120" s="1" t="n">
        <v>46190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54948-2024</t>
        </is>
      </c>
      <c r="B121" s="1" t="n">
        <v>45619</v>
      </c>
      <c r="C121" s="1" t="n">
        <v>46190</v>
      </c>
      <c r="D121" t="inlineStr">
        <is>
          <t>VÄSTRA GÖTALANDS LÄN</t>
        </is>
      </c>
      <c r="E121" t="inlineStr">
        <is>
          <t>TIBRO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24539-2026</t>
        </is>
      </c>
      <c r="B122" s="1" t="n">
        <v>46170.56108796296</v>
      </c>
      <c r="C122" s="1" t="n">
        <v>46190</v>
      </c>
      <c r="D122" t="inlineStr">
        <is>
          <t>VÄSTRA GÖTALANDS LÄN</t>
        </is>
      </c>
      <c r="E122" t="inlineStr">
        <is>
          <t>TIBRO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9954-2025</t>
        </is>
      </c>
      <c r="B123" s="1" t="n">
        <v>45719.35216435185</v>
      </c>
      <c r="C123" s="1" t="n">
        <v>46190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4241-2023</t>
        </is>
      </c>
      <c r="B124" s="1" t="n">
        <v>44953</v>
      </c>
      <c r="C124" s="1" t="n">
        <v>46190</v>
      </c>
      <c r="D124" t="inlineStr">
        <is>
          <t>VÄSTRA GÖTALANDS LÄN</t>
        </is>
      </c>
      <c r="E124" t="inlineStr">
        <is>
          <t>TIBRO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4242-2023</t>
        </is>
      </c>
      <c r="B125" s="1" t="n">
        <v>44953</v>
      </c>
      <c r="C125" s="1" t="n">
        <v>46190</v>
      </c>
      <c r="D125" t="inlineStr">
        <is>
          <t>VÄSTRA GÖTALANDS LÄN</t>
        </is>
      </c>
      <c r="E125" t="inlineStr">
        <is>
          <t>TIBRO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25330-2026</t>
        </is>
      </c>
      <c r="B126" s="1" t="n">
        <v>46176.5515162037</v>
      </c>
      <c r="C126" s="1" t="n">
        <v>46190</v>
      </c>
      <c r="D126" t="inlineStr">
        <is>
          <t>VÄSTRA GÖTALANDS LÄN</t>
        </is>
      </c>
      <c r="E126" t="inlineStr">
        <is>
          <t>TIBRO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HYPERLINK("https://klasma.github.io/Logging_1472/knärot/A 25330-2026 karta knärot.png", "A 25330-2026")</f>
        <v/>
      </c>
      <c r="V126">
        <f>HYPERLINK("https://klasma.github.io/Logging_1472/klagomål/A 25330-2026 FSC-klagomål.docx", "A 25330-2026")</f>
        <v/>
      </c>
      <c r="W126">
        <f>HYPERLINK("https://klasma.github.io/Logging_1472/klagomålsmail/A 25330-2026 FSC-klagomål mail.docx", "A 25330-2026")</f>
        <v/>
      </c>
      <c r="X126">
        <f>HYPERLINK("https://klasma.github.io/Logging_1472/tillsyn/A 25330-2026 tillsynsbegäran.docx", "A 25330-2026")</f>
        <v/>
      </c>
      <c r="Y126">
        <f>HYPERLINK("https://klasma.github.io/Logging_1472/tillsynsmail/A 25330-2026 tillsynsbegäran mail.docx", "A 25330-2026")</f>
        <v/>
      </c>
    </row>
    <row r="127" ht="15" customHeight="1">
      <c r="A127" t="inlineStr">
        <is>
          <t>A 25063-2025</t>
        </is>
      </c>
      <c r="B127" s="1" t="n">
        <v>45799.70287037037</v>
      </c>
      <c r="C127" s="1" t="n">
        <v>46190</v>
      </c>
      <c r="D127" t="inlineStr">
        <is>
          <t>VÄSTRA GÖTALANDS LÄN</t>
        </is>
      </c>
      <c r="E127" t="inlineStr">
        <is>
          <t>TIBRO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16687-2025</t>
        </is>
      </c>
      <c r="B128" s="1" t="n">
        <v>45754.45372685185</v>
      </c>
      <c r="C128" s="1" t="n">
        <v>46190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22418-2025</t>
        </is>
      </c>
      <c r="B129" s="1" t="n">
        <v>45786.56079861111</v>
      </c>
      <c r="C129" s="1" t="n">
        <v>46190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60259-2024</t>
        </is>
      </c>
      <c r="B130" s="1" t="n">
        <v>45642</v>
      </c>
      <c r="C130" s="1" t="n">
        <v>46190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46190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61133-2025</t>
        </is>
      </c>
      <c r="B132" s="1" t="n">
        <v>46000.49719907407</v>
      </c>
      <c r="C132" s="1" t="n">
        <v>46190</v>
      </c>
      <c r="D132" t="inlineStr">
        <is>
          <t>VÄSTRA GÖTALANDS LÄN</t>
        </is>
      </c>
      <c r="E132" t="inlineStr">
        <is>
          <t>TIBRO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21403-2026</t>
        </is>
      </c>
      <c r="B133" s="1" t="n">
        <v>46146</v>
      </c>
      <c r="C133" s="1" t="n">
        <v>46190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20813-2026</t>
        </is>
      </c>
      <c r="B134" s="1" t="n">
        <v>46141</v>
      </c>
      <c r="C134" s="1" t="n">
        <v>46190</v>
      </c>
      <c r="D134" t="inlineStr">
        <is>
          <t>VÄSTRA GÖTALANDS LÄN</t>
        </is>
      </c>
      <c r="E134" t="inlineStr">
        <is>
          <t>TIBRO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2026-06-17T09:22:09Z</dcterms:created>
  <dcterms:modified xmlns:dcterms="http://purl.org/dc/terms/" xmlns:xsi="http://www.w3.org/2001/XMLSchema-instance" xsi:type="dcterms:W3CDTF">2026-06-17T09:22:09Z</dcterms:modified>
</cp:coreProperties>
</file>