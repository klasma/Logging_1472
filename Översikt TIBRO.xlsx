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46217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46217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46217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Y4">
        <f>HYPERLINK("https://klasma.github.io/Logging_1472/klagomål/A 2764-2023 FSC-klagomål.docx", "A 2764-2023")</f>
        <v/>
      </c>
      <c r="Z4">
        <f>HYPERLINK("https://klasma.github.io/Logging_1472/klagomålsmail/A 2764-2023 FSC-klagomål mail.docx", "A 2764-2023")</f>
        <v/>
      </c>
      <c r="AA4">
        <f>HYPERLINK("https://klasma.github.io/Logging_1472/tillsyn/A 2764-2023 tillsynsbegäran.docx", "A 2764-2023")</f>
        <v/>
      </c>
      <c r="AB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46217</v>
      </c>
      <c r="F5" t="inlineStr">
        <is>
          <t>VÄSTRA GÖTALANDS LÄN</t>
        </is>
      </c>
      <c r="G5" t="inlineStr">
        <is>
          <t>TIBRO</t>
        </is>
      </c>
      <c r="I5" t="n">
        <v>0.3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4</v>
      </c>
      <c r="U5" s="2" t="inlineStr">
        <is>
          <t>Knärot
Flagellkvastmossa</t>
        </is>
      </c>
      <c r="V5">
        <f>HYPERLINK("https://klasma.github.io/Logging_1472/artfynd/A 25330-2026 artfynd.xlsx", "A 25330-2026")</f>
        <v/>
      </c>
      <c r="W5">
        <f>HYPERLINK("https://klasma.github.io/Logging_1472/kartor/A 25330-2026 karta.png", "A 25330-2026")</f>
        <v/>
      </c>
      <c r="X5">
        <f>HYPERLINK("https://klasma.github.io/Logging_1472/knärot/A 25330-2026 karta knärot.png", "A 25330-2026")</f>
        <v/>
      </c>
      <c r="Y5">
        <f>HYPERLINK("https://klasma.github.io/Logging_1472/klagomål/A 25330-2026 FSC-klagomål.docx", "A 25330-2026")</f>
        <v/>
      </c>
      <c r="Z5">
        <f>HYPERLINK("https://klasma.github.io/Logging_1472/klagomålsmail/A 25330-2026 FSC-klagomål mail.docx", "A 25330-2026")</f>
        <v/>
      </c>
      <c r="AA5">
        <f>HYPERLINK("https://klasma.github.io/Logging_1472/tillsyn/A 25330-2026 tillsynsbegäran.docx", "A 25330-2026")</f>
        <v/>
      </c>
      <c r="AB5">
        <f>HYPERLINK("https://klasma.github.io/Logging_1472/tillsynsmail/A 25330-2026 tillsynsbegäran mail.docx", "A 25330-2026")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46217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s="2" t="inlineStr">
        <is>
          <t>Knärot
Flagellkvastmossa</t>
        </is>
      </c>
      <c r="V6">
        <f>HYPERLINK("https://klasma.github.io/Logging_1472/artfynd/A 29724-2022 artfynd.xlsx", "A 29724-2022")</f>
        <v/>
      </c>
      <c r="W6">
        <f>HYPERLINK("https://klasma.github.io/Logging_1472/kartor/A 29724-2022 karta.png", "A 29724-2022")</f>
        <v/>
      </c>
      <c r="X6">
        <f>HYPERLINK("https://klasma.github.io/Logging_1472/knärot/A 29724-2022 karta knärot.png", "A 29724-2022")</f>
        <v/>
      </c>
      <c r="Y6">
        <f>HYPERLINK("https://klasma.github.io/Logging_1472/klagomål/A 29724-2022 FSC-klagomål.docx", "A 29724-2022")</f>
        <v/>
      </c>
      <c r="Z6">
        <f>HYPERLINK("https://klasma.github.io/Logging_1472/klagomålsmail/A 29724-2022 FSC-klagomål mail.docx", "A 29724-2022")</f>
        <v/>
      </c>
      <c r="AA6">
        <f>HYPERLINK("https://klasma.github.io/Logging_1472/tillsyn/A 29724-2022 tillsynsbegäran.docx", "A 29724-2022")</f>
        <v/>
      </c>
      <c r="AB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46217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46217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46217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417-2023 artfynd.xlsx", "A 417-2023")</f>
        <v/>
      </c>
      <c r="W9">
        <f>HYPERLINK("https://klasma.github.io/Logging_1472/kartor/A 417-2023 karta.png", "A 417-2023")</f>
        <v/>
      </c>
      <c r="Y9">
        <f>HYPERLINK("https://klasma.github.io/Logging_1472/klagomål/A 417-2023 FSC-klagomål.docx", "A 417-2023")</f>
        <v/>
      </c>
      <c r="Z9">
        <f>HYPERLINK("https://klasma.github.io/Logging_1472/klagomålsmail/A 417-2023 FSC-klagomål mail.docx", "A 417-2023")</f>
        <v/>
      </c>
      <c r="AA9">
        <f>HYPERLINK("https://klasma.github.io/Logging_1472/tillsyn/A 417-2023 tillsynsbegäran.docx", "A 417-2023")</f>
        <v/>
      </c>
      <c r="AB9">
        <f>HYPERLINK("https://klasma.github.io/Logging_1472/tillsynsmail/A 417-2023 tillsynsbegäran mail.docx", "A 417-2023")</f>
        <v/>
      </c>
      <c r="AC9">
        <f>HYPERLINK("https://klasma.github.io/Logging_1472/fåglar/A 417-2023 prioriterade fågelarter.docx", "A 417-2023")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46217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Hasselticka</t>
        </is>
      </c>
      <c r="V10">
        <f>HYPERLINK("https://klasma.github.io/Logging_1472/artfynd/A 56101-2025 artfynd.xlsx", "A 56101-2025")</f>
        <v/>
      </c>
      <c r="W10">
        <f>HYPERLINK("https://klasma.github.io/Logging_1472/kartor/A 56101-2025 karta.png", "A 56101-2025")</f>
        <v/>
      </c>
      <c r="Y10">
        <f>HYPERLINK("https://klasma.github.io/Logging_1472/klagomål/A 56101-2025 FSC-klagomål.docx", "A 56101-2025")</f>
        <v/>
      </c>
      <c r="Z10">
        <f>HYPERLINK("https://klasma.github.io/Logging_1472/klagomålsmail/A 56101-2025 FSC-klagomål mail.docx", "A 56101-2025")</f>
        <v/>
      </c>
      <c r="AA10">
        <f>HYPERLINK("https://klasma.github.io/Logging_1472/tillsyn/A 56101-2025 tillsynsbegäran.docx", "A 56101-2025")</f>
        <v/>
      </c>
      <c r="AB10">
        <f>HYPERLINK("https://klasma.github.io/Logging_1472/tillsynsmail/A 56101-2025 tillsynsbegäran mail.docx", "A 56101-2025")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46217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Revlummer</t>
        </is>
      </c>
      <c r="V11">
        <f>HYPERLINK("https://klasma.github.io/Logging_1472/artfynd/A 2763-2023 artfynd.xlsx", "A 2763-2023")</f>
        <v/>
      </c>
      <c r="W11">
        <f>HYPERLINK("https://klasma.github.io/Logging_1472/kartor/A 2763-2023 karta.png", "A 2763-2023")</f>
        <v/>
      </c>
      <c r="Y11">
        <f>HYPERLINK("https://klasma.github.io/Logging_1472/klagomål/A 2763-2023 FSC-klagomål.docx", "A 2763-2023")</f>
        <v/>
      </c>
      <c r="Z11">
        <f>HYPERLINK("https://klasma.github.io/Logging_1472/klagomålsmail/A 2763-2023 FSC-klagomål mail.docx", "A 2763-2023")</f>
        <v/>
      </c>
      <c r="AA11">
        <f>HYPERLINK("https://klasma.github.io/Logging_1472/tillsyn/A 2763-2023 tillsynsbegäran.docx", "A 2763-2023")</f>
        <v/>
      </c>
      <c r="AB11">
        <f>HYPERLINK("https://klasma.github.io/Logging_1472/tillsynsmail/A 2763-2023 tillsynsbegäran mail.docx", "A 2763-2023")</f>
        <v/>
      </c>
    </row>
    <row r="12" ht="15" customHeight="1">
      <c r="A12" t="inlineStr">
        <is>
          <t>A 29819-2025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46217</v>
      </c>
      <c r="F12" t="inlineStr">
        <is>
          <t>VÄSTRA GÖTALANDS LÄN</t>
        </is>
      </c>
      <c r="G12" t="inlineStr">
        <is>
          <t>TIBRO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Nattskärra</t>
        </is>
      </c>
      <c r="V12">
        <f>HYPERLINK("https://klasma.github.io/Logging_1472/artfynd/A 29819-2025 artfynd.xlsx", "A 29819-2025")</f>
        <v/>
      </c>
      <c r="W12">
        <f>HYPERLINK("https://klasma.github.io/Logging_1472/kartor/A 29819-2025 karta.png", "A 29819-2025")</f>
        <v/>
      </c>
      <c r="Y12">
        <f>HYPERLINK("https://klasma.github.io/Logging_1472/klagomål/A 29819-2025 FSC-klagomål.docx", "A 29819-2025")</f>
        <v/>
      </c>
      <c r="Z12">
        <f>HYPERLINK("https://klasma.github.io/Logging_1472/klagomålsmail/A 29819-2025 FSC-klagomål mail.docx", "A 29819-2025")</f>
        <v/>
      </c>
      <c r="AA12">
        <f>HYPERLINK("https://klasma.github.io/Logging_1472/tillsyn/A 29819-2025 tillsynsbegäran.docx", "A 29819-2025")</f>
        <v/>
      </c>
      <c r="AB12">
        <f>HYPERLINK("https://klasma.github.io/Logging_1472/tillsynsmail/A 29819-2025 tillsynsbegäran mail.docx", "A 29819-2025")</f>
        <v/>
      </c>
      <c r="AC12">
        <f>HYPERLINK("https://klasma.github.io/Logging_1472/fåglar/A 29819-2025 prioriterade fågelarter.docx", "A 29819-2025")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46217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37242-2021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44396</v>
      </c>
      <c r="E14" s="1" t="n">
        <v>46217</v>
      </c>
      <c r="F14" t="inlineStr">
        <is>
          <t>VÄSTRA GÖTALANDS LÄN</t>
        </is>
      </c>
      <c r="G14" t="inlineStr">
        <is>
          <t>TIBRO</t>
        </is>
      </c>
      <c r="I14" t="n">
        <v>10.3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46217</v>
      </c>
      <c r="F15" t="inlineStr">
        <is>
          <t>VÄSTRA GÖTALANDS LÄN</t>
        </is>
      </c>
      <c r="G15" t="inlineStr">
        <is>
          <t>TIBRO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25943-2022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44734</v>
      </c>
      <c r="E16" s="1" t="n">
        <v>46217</v>
      </c>
      <c r="F16" t="inlineStr">
        <is>
          <t>VÄSTRA GÖTALANDS LÄN</t>
        </is>
      </c>
      <c r="G16" t="inlineStr">
        <is>
          <t>TIBRO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46217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46217</v>
      </c>
      <c r="F18" t="inlineStr">
        <is>
          <t>VÄSTRA GÖTALANDS LÄN</t>
        </is>
      </c>
      <c r="G18" t="inlineStr">
        <is>
          <t>TIBRO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46217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6822-2022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44602</v>
      </c>
      <c r="E20" s="1" t="n">
        <v>46217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36402-2022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46217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64871-2021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46217</v>
      </c>
      <c r="F22" t="inlineStr">
        <is>
          <t>VÄSTRA GÖTALANDS LÄN</t>
        </is>
      </c>
      <c r="G22" t="inlineStr">
        <is>
          <t>TIBRO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23080-2022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44715</v>
      </c>
      <c r="E23" s="1" t="n">
        <v>46217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65112-2021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46217</v>
      </c>
      <c r="F24" t="inlineStr">
        <is>
          <t>VÄSTRA GÖTALANDS LÄN</t>
        </is>
      </c>
      <c r="G24" t="inlineStr">
        <is>
          <t>TIBRO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46217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46217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46217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46217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46217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37241-2021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44396</v>
      </c>
      <c r="E30" s="1" t="n">
        <v>46217</v>
      </c>
      <c r="F30" t="inlineStr">
        <is>
          <t>VÄSTRA GÖTALANDS LÄN</t>
        </is>
      </c>
      <c r="G30" t="inlineStr">
        <is>
          <t>TIBRO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65095-2021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46217</v>
      </c>
      <c r="F31" t="inlineStr">
        <is>
          <t>VÄSTRA GÖTALANDS LÄN</t>
        </is>
      </c>
      <c r="G31" t="inlineStr">
        <is>
          <t>TIBRO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46217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42048-2021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46217</v>
      </c>
      <c r="F33" t="inlineStr">
        <is>
          <t>VÄSTRA GÖTALANDS LÄN</t>
        </is>
      </c>
      <c r="G33" t="inlineStr">
        <is>
          <t>TIBRO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46217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15409-2024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46217</v>
      </c>
      <c r="F35" t="inlineStr">
        <is>
          <t>VÄSTRA GÖTALANDS LÄN</t>
        </is>
      </c>
      <c r="G35" t="inlineStr">
        <is>
          <t>TIBRO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58365-2022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44901</v>
      </c>
      <c r="E36" s="1" t="n">
        <v>46217</v>
      </c>
      <c r="F36" t="inlineStr">
        <is>
          <t>VÄSTRA GÖTALANDS LÄN</t>
        </is>
      </c>
      <c r="G36" t="inlineStr">
        <is>
          <t>TIBRO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53179-2023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46217</v>
      </c>
      <c r="F37" t="inlineStr">
        <is>
          <t>VÄSTRA GÖTALANDS LÄN</t>
        </is>
      </c>
      <c r="G37" t="inlineStr">
        <is>
          <t>TIBRO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55788-2023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45239</v>
      </c>
      <c r="E38" s="1" t="n">
        <v>46217</v>
      </c>
      <c r="F38" t="inlineStr">
        <is>
          <t>VÄSTRA GÖTALANDS LÄN</t>
        </is>
      </c>
      <c r="G38" t="inlineStr">
        <is>
          <t>TIBRO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2761-2023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44944</v>
      </c>
      <c r="E39" s="1" t="n">
        <v>46217</v>
      </c>
      <c r="F39" t="inlineStr">
        <is>
          <t>VÄSTRA GÖTALANDS LÄN</t>
        </is>
      </c>
      <c r="G39" t="inlineStr">
        <is>
          <t>TIBRO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62219-2022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44922</v>
      </c>
      <c r="E40" s="1" t="n">
        <v>46217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46217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33522-2024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46217</v>
      </c>
      <c r="F42" t="inlineStr">
        <is>
          <t>VÄSTRA GÖTALANDS LÄN</t>
        </is>
      </c>
      <c r="G42" t="inlineStr">
        <is>
          <t>TIBRO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47649-2023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45203</v>
      </c>
      <c r="E43" s="1" t="n">
        <v>46217</v>
      </c>
      <c r="F43" t="inlineStr">
        <is>
          <t>VÄSTRA GÖTALANDS LÄN</t>
        </is>
      </c>
      <c r="G43" t="inlineStr">
        <is>
          <t>TIBRO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21738-2023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46217</v>
      </c>
      <c r="F44" t="inlineStr">
        <is>
          <t>VÄSTRA GÖTALANDS LÄN</t>
        </is>
      </c>
      <c r="G44" t="inlineStr">
        <is>
          <t>TIBRO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40671-2024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45558</v>
      </c>
      <c r="E45" s="1" t="n">
        <v>46217</v>
      </c>
      <c r="F45" t="inlineStr">
        <is>
          <t>VÄSTRA GÖTALANDS LÄN</t>
        </is>
      </c>
      <c r="G45" t="inlineStr">
        <is>
          <t>TIBRO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46217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62223-2022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46217</v>
      </c>
      <c r="F47" t="inlineStr">
        <is>
          <t>VÄSTRA GÖTALANDS LÄN</t>
        </is>
      </c>
      <c r="G47" t="inlineStr">
        <is>
          <t>TIBRO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10115-2023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44986</v>
      </c>
      <c r="E48" s="1" t="n">
        <v>46217</v>
      </c>
      <c r="F48" t="inlineStr">
        <is>
          <t>VÄSTRA GÖTALANDS LÄN</t>
        </is>
      </c>
      <c r="G48" t="inlineStr">
        <is>
          <t>TIBRO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45665-2021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46217</v>
      </c>
      <c r="F49" t="inlineStr">
        <is>
          <t>VÄSTRA GÖTALANDS LÄN</t>
        </is>
      </c>
      <c r="G49" t="inlineStr">
        <is>
          <t>TIBRO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16687-2025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46217</v>
      </c>
      <c r="F50" t="inlineStr">
        <is>
          <t>VÄSTRA GÖTALANDS LÄN</t>
        </is>
      </c>
      <c r="G50" t="inlineStr">
        <is>
          <t>TIBRO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44960</v>
      </c>
      <c r="E51" s="1" t="n">
        <v>46217</v>
      </c>
      <c r="F51" t="inlineStr">
        <is>
          <t>VÄSTRA GÖTALANDS LÄN</t>
        </is>
      </c>
      <c r="G51" t="inlineStr">
        <is>
          <t>TIBRO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60264-2024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46217</v>
      </c>
      <c r="F52" t="inlineStr">
        <is>
          <t>VÄSTRA GÖTALANDS LÄN</t>
        </is>
      </c>
      <c r="G52" t="inlineStr">
        <is>
          <t>TIBRO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61133-2025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46217</v>
      </c>
      <c r="F53" t="inlineStr">
        <is>
          <t>VÄSTRA GÖTALANDS LÄN</t>
        </is>
      </c>
      <c r="G53" t="inlineStr">
        <is>
          <t>TIBRO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17150-2023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45034</v>
      </c>
      <c r="E54" s="1" t="n">
        <v>46217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46217</v>
      </c>
      <c r="F55" t="inlineStr">
        <is>
          <t>VÄSTRA GÖTALANDS LÄN</t>
        </is>
      </c>
      <c r="G55" t="inlineStr">
        <is>
          <t>TIBRO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41130-2025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45898</v>
      </c>
      <c r="E56" s="1" t="n">
        <v>46217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58150-2022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46217</v>
      </c>
      <c r="F57" t="inlineStr">
        <is>
          <t>VÄSTRA GÖTALANDS LÄN</t>
        </is>
      </c>
      <c r="G57" t="inlineStr">
        <is>
          <t>TIBRO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22789-2022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46217</v>
      </c>
      <c r="F58" t="inlineStr">
        <is>
          <t>VÄSTRA GÖTALANDS LÄN</t>
        </is>
      </c>
      <c r="G58" t="inlineStr">
        <is>
          <t>TIBRO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52631-2024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46217</v>
      </c>
      <c r="F59" t="inlineStr">
        <is>
          <t>VÄSTRA GÖTALANDS LÄN</t>
        </is>
      </c>
      <c r="G59" t="inlineStr">
        <is>
          <t>TIBRO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64438-2023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46217</v>
      </c>
      <c r="F60" t="inlineStr">
        <is>
          <t>VÄSTRA GÖTALANDS LÄN</t>
        </is>
      </c>
      <c r="G60" t="inlineStr">
        <is>
          <t>TIBRO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45177</v>
      </c>
      <c r="E61" s="1" t="n">
        <v>46217</v>
      </c>
      <c r="F61" t="inlineStr">
        <is>
          <t>VÄSTRA GÖTALANDS LÄN</t>
        </is>
      </c>
      <c r="G61" t="inlineStr">
        <is>
          <t>TIBRO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44930</v>
      </c>
      <c r="E62" s="1" t="n">
        <v>46217</v>
      </c>
      <c r="F62" t="inlineStr">
        <is>
          <t>VÄSTRA GÖTALANDS LÄN</t>
        </is>
      </c>
      <c r="G62" t="inlineStr">
        <is>
          <t>TIBRO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420-2023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44929</v>
      </c>
      <c r="E63" s="1" t="n">
        <v>46217</v>
      </c>
      <c r="F63" t="inlineStr">
        <is>
          <t>VÄSTRA GÖTALANDS LÄN</t>
        </is>
      </c>
      <c r="G63" t="inlineStr">
        <is>
          <t>TIBRO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47903-2025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45932</v>
      </c>
      <c r="E64" s="1" t="n">
        <v>46217</v>
      </c>
      <c r="F64" t="inlineStr">
        <is>
          <t>VÄSTRA GÖTALANDS LÄN</t>
        </is>
      </c>
      <c r="G64" t="inlineStr">
        <is>
          <t>TIBRO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22418-2025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46217</v>
      </c>
      <c r="F65" t="inlineStr">
        <is>
          <t>VÄSTRA GÖTALANDS LÄN</t>
        </is>
      </c>
      <c r="G65" t="inlineStr">
        <is>
          <t>TIBRO</t>
        </is>
      </c>
      <c r="H65" t="inlineStr">
        <is>
          <t>Kyrkan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9954-2025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46217</v>
      </c>
      <c r="F66" t="inlineStr">
        <is>
          <t>VÄSTRA GÖTALANDS LÄN</t>
        </is>
      </c>
      <c r="G66" t="inlineStr">
        <is>
          <t>TIBRO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60259-2024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45642</v>
      </c>
      <c r="E67" s="1" t="n">
        <v>46217</v>
      </c>
      <c r="F67" t="inlineStr">
        <is>
          <t>VÄSTRA GÖTALANDS LÄN</t>
        </is>
      </c>
      <c r="G67" t="inlineStr">
        <is>
          <t>TIBRO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58101-2023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45249</v>
      </c>
      <c r="E68" s="1" t="n">
        <v>46217</v>
      </c>
      <c r="F68" t="inlineStr">
        <is>
          <t>VÄSTRA GÖTALANDS LÄN</t>
        </is>
      </c>
      <c r="G68" t="inlineStr">
        <is>
          <t>TIBRO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53651-2025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46217</v>
      </c>
      <c r="F69" t="inlineStr">
        <is>
          <t>VÄSTRA GÖTALANDS LÄN</t>
        </is>
      </c>
      <c r="G69" t="inlineStr">
        <is>
          <t>TIBRO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17611-2025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46217</v>
      </c>
      <c r="F70" t="inlineStr">
        <is>
          <t>VÄSTRA GÖTALANDS LÄN</t>
        </is>
      </c>
      <c r="G70" t="inlineStr">
        <is>
          <t>TIBRO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16618-2025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46217</v>
      </c>
      <c r="F71" t="inlineStr">
        <is>
          <t>VÄSTRA GÖTALANDS LÄN</t>
        </is>
      </c>
      <c r="G71" t="inlineStr">
        <is>
          <t>TIBRO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45203</v>
      </c>
      <c r="E72" s="1" t="n">
        <v>46217</v>
      </c>
      <c r="F72" t="inlineStr">
        <is>
          <t>VÄSTRA GÖTALANDS LÄN</t>
        </is>
      </c>
      <c r="G72" t="inlineStr">
        <is>
          <t>TIBRO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53160-2023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46217</v>
      </c>
      <c r="F73" t="inlineStr">
        <is>
          <t>VÄSTRA GÖTALANDS LÄN</t>
        </is>
      </c>
      <c r="G73" t="inlineStr">
        <is>
          <t>TIBRO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53253-2023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46217</v>
      </c>
      <c r="F74" t="inlineStr">
        <is>
          <t>VÄSTRA GÖTALANDS LÄN</t>
        </is>
      </c>
      <c r="G74" t="inlineStr">
        <is>
          <t>TIBRO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45881-2024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46217</v>
      </c>
      <c r="F75" t="inlineStr">
        <is>
          <t>VÄSTRA GÖTALANDS LÄN</t>
        </is>
      </c>
      <c r="G75" t="inlineStr">
        <is>
          <t>TIBRO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21403-2026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46146</v>
      </c>
      <c r="E76" s="1" t="n">
        <v>46217</v>
      </c>
      <c r="F76" t="inlineStr">
        <is>
          <t>VÄSTRA GÖTALANDS LÄN</t>
        </is>
      </c>
      <c r="G76" t="inlineStr">
        <is>
          <t>TIBRO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35048-2024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46217</v>
      </c>
      <c r="F77" t="inlineStr">
        <is>
          <t>VÄSTRA GÖTALANDS LÄN</t>
        </is>
      </c>
      <c r="G77" t="inlineStr">
        <is>
          <t>TIBRO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45338</v>
      </c>
      <c r="E78" s="1" t="n">
        <v>46217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7179-2023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44965</v>
      </c>
      <c r="E79" s="1" t="n">
        <v>46217</v>
      </c>
      <c r="F79" t="inlineStr">
        <is>
          <t>VÄSTRA GÖTALANDS LÄN</t>
        </is>
      </c>
      <c r="G79" t="inlineStr">
        <is>
          <t>TIBRO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46217</v>
      </c>
      <c r="F80" t="inlineStr">
        <is>
          <t>VÄSTRA GÖTALANDS LÄN</t>
        </is>
      </c>
      <c r="G80" t="inlineStr">
        <is>
          <t>TIBRO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46217</v>
      </c>
      <c r="F81" t="inlineStr">
        <is>
          <t>VÄSTRA GÖTALANDS LÄN</t>
        </is>
      </c>
      <c r="G81" t="inlineStr">
        <is>
          <t>TIBRO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61975-2021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44502</v>
      </c>
      <c r="E82" s="1" t="n">
        <v>46217</v>
      </c>
      <c r="F82" t="inlineStr">
        <is>
          <t>VÄSTRA GÖTALANDS LÄN</t>
        </is>
      </c>
      <c r="G82" t="inlineStr">
        <is>
          <t>TIBRO</t>
        </is>
      </c>
      <c r="H82" t="inlineStr">
        <is>
          <t>Kommuner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46217</v>
      </c>
      <c r="F83" t="inlineStr">
        <is>
          <t>VÄSTRA GÖTALANDS LÄN</t>
        </is>
      </c>
      <c r="G83" t="inlineStr">
        <is>
          <t>TIBRO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39211-2023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46217</v>
      </c>
      <c r="F84" t="inlineStr">
        <is>
          <t>VÄSTRA GÖTALANDS LÄN</t>
        </is>
      </c>
      <c r="G84" t="inlineStr">
        <is>
          <t>TIBRO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15684-2023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45021</v>
      </c>
      <c r="E85" s="1" t="n">
        <v>46217</v>
      </c>
      <c r="F85" t="inlineStr">
        <is>
          <t>VÄSTRA GÖTALANDS LÄN</t>
        </is>
      </c>
      <c r="G85" t="inlineStr">
        <is>
          <t>TIBRO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20813-2026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46217</v>
      </c>
      <c r="F86" t="inlineStr">
        <is>
          <t>VÄSTRA GÖTALANDS LÄN</t>
        </is>
      </c>
      <c r="G86" t="inlineStr">
        <is>
          <t>TIBRO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45669-2023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46217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46058</v>
      </c>
      <c r="E88" s="1" t="n">
        <v>46217</v>
      </c>
      <c r="F88" t="inlineStr">
        <is>
          <t>VÄSTRA GÖTALANDS LÄN</t>
        </is>
      </c>
      <c r="G88" t="inlineStr">
        <is>
          <t>TIBRO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54948-2024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45619</v>
      </c>
      <c r="E89" s="1" t="n">
        <v>46217</v>
      </c>
      <c r="F89" t="inlineStr">
        <is>
          <t>VÄSTRA GÖTALANDS LÄN</t>
        </is>
      </c>
      <c r="G89" t="inlineStr">
        <is>
          <t>TIBRO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20430-2025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46217</v>
      </c>
      <c r="F90" t="inlineStr">
        <is>
          <t>VÄSTRA GÖTALANDS LÄN</t>
        </is>
      </c>
      <c r="G90" t="inlineStr">
        <is>
          <t>TIBRO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41931-2024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46217</v>
      </c>
      <c r="F91" t="inlineStr">
        <is>
          <t>VÄSTRA GÖTALANDS LÄN</t>
        </is>
      </c>
      <c r="G91" t="inlineStr">
        <is>
          <t>TIBRO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54449-2025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46217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13616-2026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46217</v>
      </c>
      <c r="F93" t="inlineStr">
        <is>
          <t>VÄSTRA GÖTALANDS LÄN</t>
        </is>
      </c>
      <c r="G93" t="inlineStr">
        <is>
          <t>TIBRO</t>
        </is>
      </c>
      <c r="I93" t="n">
        <v>8.699999999999999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13618-2026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46217</v>
      </c>
      <c r="F94" t="inlineStr">
        <is>
          <t>VÄSTRA GÖTALANDS LÄN</t>
        </is>
      </c>
      <c r="G94" t="inlineStr">
        <is>
          <t>TIBRO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13617-2026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46097</v>
      </c>
      <c r="E95" s="1" t="n">
        <v>46217</v>
      </c>
      <c r="F95" t="inlineStr">
        <is>
          <t>VÄSTRA GÖTALANDS LÄN</t>
        </is>
      </c>
      <c r="G95" t="inlineStr">
        <is>
          <t>TIBRO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16586-2026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46112</v>
      </c>
      <c r="E96" s="1" t="n">
        <v>46217</v>
      </c>
      <c r="F96" t="inlineStr">
        <is>
          <t>VÄSTRA GÖTALANDS LÄN</t>
        </is>
      </c>
      <c r="G96" t="inlineStr">
        <is>
          <t>TIBRO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18004-2026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46125</v>
      </c>
      <c r="E97" s="1" t="n">
        <v>46217</v>
      </c>
      <c r="F97" t="inlineStr">
        <is>
          <t>VÄSTRA GÖTALANDS LÄN</t>
        </is>
      </c>
      <c r="G97" t="inlineStr">
        <is>
          <t>TIBRO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39459-2023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45166</v>
      </c>
      <c r="E98" s="1" t="n">
        <v>46217</v>
      </c>
      <c r="F98" t="inlineStr">
        <is>
          <t>VÄSTRA GÖTALANDS LÄN</t>
        </is>
      </c>
      <c r="G98" t="inlineStr">
        <is>
          <t>TIBRO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24539-2026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46170</v>
      </c>
      <c r="E99" s="1" t="n">
        <v>46217</v>
      </c>
      <c r="F99" t="inlineStr">
        <is>
          <t>VÄSTRA GÖTALANDS LÄN</t>
        </is>
      </c>
      <c r="G99" t="inlineStr">
        <is>
          <t>TIBRO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44805</v>
      </c>
      <c r="E100" s="1" t="n">
        <v>46217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44953</v>
      </c>
      <c r="E101" s="1" t="n">
        <v>46217</v>
      </c>
      <c r="F101" t="inlineStr">
        <is>
          <t>VÄSTRA GÖTALANDS LÄN</t>
        </is>
      </c>
      <c r="G101" t="inlineStr">
        <is>
          <t>TIBRO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4242-2023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44953</v>
      </c>
      <c r="E102" s="1" t="n">
        <v>46217</v>
      </c>
      <c r="F102" t="inlineStr">
        <is>
          <t>VÄSTRA GÖTALANDS LÄN</t>
        </is>
      </c>
      <c r="G102" t="inlineStr">
        <is>
          <t>TIBRO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45054-2023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46217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29728-2022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44755</v>
      </c>
      <c r="E104" s="1" t="n">
        <v>46217</v>
      </c>
      <c r="F104" t="inlineStr">
        <is>
          <t>VÄSTRA GÖTALANDS LÄN</t>
        </is>
      </c>
      <c r="G104" t="inlineStr">
        <is>
          <t>TIBRO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46217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46217</v>
      </c>
      <c r="F106" t="inlineStr">
        <is>
          <t>VÄSTRA GÖTALANDS LÄN</t>
        </is>
      </c>
      <c r="G106" t="inlineStr">
        <is>
          <t>TIBRO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29822-2023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46217</v>
      </c>
      <c r="F107" t="inlineStr">
        <is>
          <t>VÄSTRA GÖTALANDS LÄN</t>
        </is>
      </c>
      <c r="G107" t="inlineStr">
        <is>
          <t>TIBRO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62221-2022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46217</v>
      </c>
      <c r="F108" t="inlineStr">
        <is>
          <t>VÄSTRA GÖTALANDS LÄN</t>
        </is>
      </c>
      <c r="G108" t="inlineStr">
        <is>
          <t>TIBRO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46217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44922</v>
      </c>
      <c r="E110" s="1" t="n">
        <v>46217</v>
      </c>
      <c r="F110" t="inlineStr">
        <is>
          <t>VÄSTRA GÖTALANDS LÄN</t>
        </is>
      </c>
      <c r="G110" t="inlineStr">
        <is>
          <t>TIBRO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44929</v>
      </c>
      <c r="E111" s="1" t="n">
        <v>46217</v>
      </c>
      <c r="F111" t="inlineStr">
        <is>
          <t>VÄSTRA GÖTALANDS LÄN</t>
        </is>
      </c>
      <c r="G111" t="inlineStr">
        <is>
          <t>TIBRO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10836-2023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46217</v>
      </c>
      <c r="F112" t="inlineStr">
        <is>
          <t>VÄSTRA GÖTALANDS LÄN</t>
        </is>
      </c>
      <c r="G112" t="inlineStr">
        <is>
          <t>TIBRO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14383-2024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45394</v>
      </c>
      <c r="E113" s="1" t="n">
        <v>46217</v>
      </c>
      <c r="F113" t="inlineStr">
        <is>
          <t>VÄSTRA GÖTALANDS LÄN</t>
        </is>
      </c>
      <c r="G113" t="inlineStr">
        <is>
          <t>TIBRO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46217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10737-2023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44984</v>
      </c>
      <c r="E115" s="1" t="n">
        <v>46217</v>
      </c>
      <c r="F115" t="inlineStr">
        <is>
          <t>VÄSTRA GÖTALANDS LÄN</t>
        </is>
      </c>
      <c r="G115" t="inlineStr">
        <is>
          <t>TIBRO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45588-2022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46217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46217</v>
      </c>
      <c r="F117" t="inlineStr">
        <is>
          <t>VÄSTRA GÖTALANDS LÄN</t>
        </is>
      </c>
      <c r="G117" t="inlineStr">
        <is>
          <t>TIBRO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59273-2023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46217</v>
      </c>
      <c r="F118" t="inlineStr">
        <is>
          <t>VÄSTRA GÖTALANDS LÄN</t>
        </is>
      </c>
      <c r="G118" t="inlineStr">
        <is>
          <t>TIBRO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8969-2023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46217</v>
      </c>
      <c r="F119" t="inlineStr">
        <is>
          <t>VÄSTRA GÖTALANDS LÄN</t>
        </is>
      </c>
      <c r="G119" t="inlineStr">
        <is>
          <t>TIBRO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54412-2024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46217</v>
      </c>
      <c r="F120" t="inlineStr">
        <is>
          <t>VÄSTRA GÖTALANDS LÄN</t>
        </is>
      </c>
      <c r="G120" t="inlineStr">
        <is>
          <t>TIBRO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3572-2025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45680</v>
      </c>
      <c r="E121" s="1" t="n">
        <v>46217</v>
      </c>
      <c r="F121" t="inlineStr">
        <is>
          <t>VÄSTRA GÖTALANDS LÄN</t>
        </is>
      </c>
      <c r="G121" t="inlineStr">
        <is>
          <t>TIBRO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22028-2025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46217</v>
      </c>
      <c r="F122" t="inlineStr">
        <is>
          <t>VÄSTRA GÖTALANDS LÄN</t>
        </is>
      </c>
      <c r="G122" t="inlineStr">
        <is>
          <t>TIBRO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22828-2025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46217</v>
      </c>
      <c r="F123" t="inlineStr">
        <is>
          <t>VÄSTRA GÖTALANDS LÄN</t>
        </is>
      </c>
      <c r="G123" t="inlineStr">
        <is>
          <t>TIBRO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8450-2025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46217</v>
      </c>
      <c r="F124" t="inlineStr">
        <is>
          <t>VÄSTRA GÖTALANDS LÄN</t>
        </is>
      </c>
      <c r="G124" t="inlineStr">
        <is>
          <t>TIBRO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45666</v>
      </c>
      <c r="E125" s="1" t="n">
        <v>46217</v>
      </c>
      <c r="F125" t="inlineStr">
        <is>
          <t>VÄSTRA GÖTALANDS LÄN</t>
        </is>
      </c>
      <c r="G125" t="inlineStr">
        <is>
          <t>TIBRO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45599-2024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46217</v>
      </c>
      <c r="F126" t="inlineStr">
        <is>
          <t>VÄSTRA GÖTALANDS LÄN</t>
        </is>
      </c>
      <c r="G126" t="inlineStr">
        <is>
          <t>TIBRO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10462-2025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45720</v>
      </c>
      <c r="E127" s="1" t="n">
        <v>46217</v>
      </c>
      <c r="F127" t="inlineStr">
        <is>
          <t>VÄSTRA GÖTALANDS LÄN</t>
        </is>
      </c>
      <c r="G127" t="inlineStr">
        <is>
          <t>TIBRO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28703-2025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45820</v>
      </c>
      <c r="E128" s="1" t="n">
        <v>46217</v>
      </c>
      <c r="F128" t="inlineStr">
        <is>
          <t>VÄSTRA GÖTALANDS LÄN</t>
        </is>
      </c>
      <c r="G128" t="inlineStr">
        <is>
          <t>TIBRO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34530-2024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45525</v>
      </c>
      <c r="E129" s="1" t="n">
        <v>46217</v>
      </c>
      <c r="F129" t="inlineStr">
        <is>
          <t>VÄSTRA GÖTALANDS LÄN</t>
        </is>
      </c>
      <c r="G129" t="inlineStr">
        <is>
          <t>TIBRO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3071-2022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44715</v>
      </c>
      <c r="E130" s="1" t="n">
        <v>46217</v>
      </c>
      <c r="F130" t="inlineStr">
        <is>
          <t>VÄSTRA GÖTALANDS LÄN</t>
        </is>
      </c>
      <c r="G130" t="inlineStr">
        <is>
          <t>TIBRO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3719-2023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45222</v>
      </c>
      <c r="E131" s="1" t="n">
        <v>46217</v>
      </c>
      <c r="F131" t="inlineStr">
        <is>
          <t>VÄSTRA GÖTALANDS LÄN</t>
        </is>
      </c>
      <c r="G131" t="inlineStr">
        <is>
          <t>TIBRO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2026-07-14T09:02:19Z</dcterms:created>
  <dcterms:modified xmlns:dcterms="http://purl.org/dc/terms/" xmlns:xsi="http://www.w3.org/2001/XMLSchema-instance" xsi:type="dcterms:W3CDTF">2026-07-14T09:02:19Z</dcterms:modified>
</cp:coreProperties>
</file>